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it Verma\Desktop\"/>
    </mc:Choice>
  </mc:AlternateContent>
  <bookViews>
    <workbookView xWindow="0" yWindow="0" windowWidth="24405" windowHeight="10080" activeTab="1"/>
  </bookViews>
  <sheets>
    <sheet name="FY Target Sheet" sheetId="1" r:id="rId1"/>
    <sheet name="Construction Budget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2" l="1"/>
  <c r="E58" i="2" s="1"/>
  <c r="D57" i="2"/>
  <c r="D58" i="2" s="1"/>
  <c r="E54" i="2"/>
  <c r="E55" i="2" s="1"/>
  <c r="D54" i="2"/>
  <c r="D55" i="2" s="1"/>
  <c r="E51" i="2"/>
  <c r="E52" i="2" s="1"/>
  <c r="D51" i="2"/>
  <c r="D52" i="2" s="1"/>
  <c r="E48" i="2"/>
  <c r="E49" i="2" s="1"/>
  <c r="D48" i="2"/>
  <c r="D49" i="2" s="1"/>
  <c r="E45" i="2"/>
  <c r="E46" i="2" s="1"/>
  <c r="D45" i="2"/>
  <c r="D46" i="2" s="1"/>
  <c r="E42" i="2"/>
  <c r="E43" i="2" s="1"/>
  <c r="D42" i="2"/>
  <c r="D43" i="2" s="1"/>
  <c r="E39" i="2"/>
  <c r="E40" i="2" s="1"/>
  <c r="D39" i="2"/>
  <c r="D40" i="2" s="1"/>
  <c r="D37" i="2"/>
  <c r="E36" i="2"/>
  <c r="E37" i="2" s="1"/>
  <c r="E33" i="2"/>
  <c r="E34" i="2" s="1"/>
  <c r="D33" i="2"/>
  <c r="D34" i="2" s="1"/>
  <c r="E31" i="2"/>
  <c r="E30" i="2"/>
  <c r="D30" i="2"/>
  <c r="D31" i="2" s="1"/>
  <c r="E27" i="2"/>
  <c r="D27" i="2"/>
  <c r="E24" i="2"/>
  <c r="E25" i="2" s="1"/>
  <c r="D24" i="2"/>
  <c r="D25" i="2" s="1"/>
  <c r="D22" i="2"/>
  <c r="E21" i="2"/>
  <c r="E22" i="2" s="1"/>
  <c r="D21" i="2"/>
  <c r="E18" i="2"/>
  <c r="E19" i="2" s="1"/>
  <c r="D18" i="2"/>
  <c r="D19" i="2" s="1"/>
  <c r="E15" i="2"/>
  <c r="E16" i="2" s="1"/>
  <c r="D15" i="2"/>
  <c r="D16" i="2" s="1"/>
  <c r="D13" i="2"/>
  <c r="E12" i="2"/>
  <c r="E3" i="2" s="1"/>
  <c r="E4" i="2" s="1"/>
  <c r="D12" i="2"/>
  <c r="E9" i="2"/>
  <c r="E10" i="2" s="1"/>
  <c r="D9" i="2"/>
  <c r="D10" i="2" s="1"/>
  <c r="E6" i="2"/>
  <c r="E7" i="2" s="1"/>
  <c r="D6" i="2"/>
  <c r="D7" i="2" s="1"/>
  <c r="O3" i="2"/>
  <c r="N3" i="2"/>
  <c r="M3" i="2"/>
  <c r="L3" i="2"/>
  <c r="K3" i="2"/>
  <c r="J3" i="2"/>
  <c r="I3" i="2"/>
  <c r="H3" i="2"/>
  <c r="G3" i="2"/>
  <c r="F3" i="2"/>
  <c r="O2" i="2"/>
  <c r="N2" i="2"/>
  <c r="M2" i="2"/>
  <c r="L2" i="2"/>
  <c r="K2" i="2"/>
  <c r="J2" i="2"/>
  <c r="I2" i="2"/>
  <c r="H2" i="2"/>
  <c r="G2" i="2"/>
  <c r="F2" i="2"/>
  <c r="E2" i="2"/>
  <c r="D2" i="2"/>
  <c r="CH32" i="1"/>
  <c r="CG32" i="1"/>
  <c r="CE32" i="1" s="1"/>
  <c r="CF32" i="1"/>
  <c r="CD32" i="1"/>
  <c r="CB32" i="1"/>
  <c r="CA32" i="1"/>
  <c r="BZ32" i="1"/>
  <c r="BY32" i="1" s="1"/>
  <c r="BX32" i="1"/>
  <c r="BW32" i="1"/>
  <c r="BV32" i="1"/>
  <c r="BU32" i="1"/>
  <c r="BS32" i="1" s="1"/>
  <c r="BT32" i="1"/>
  <c r="BR32" i="1"/>
  <c r="BP32" i="1"/>
  <c r="BO32" i="1"/>
  <c r="BN32" i="1"/>
  <c r="BM32" i="1" s="1"/>
  <c r="BL32" i="1"/>
  <c r="BK32" i="1"/>
  <c r="BJ32" i="1"/>
  <c r="BI32" i="1"/>
  <c r="BG32" i="1" s="1"/>
  <c r="BH32" i="1"/>
  <c r="BF32" i="1"/>
  <c r="BE32" i="1"/>
  <c r="BD32" i="1"/>
  <c r="BC32" i="1"/>
  <c r="BB32" i="1"/>
  <c r="BA32" i="1" s="1"/>
  <c r="AZ32" i="1"/>
  <c r="AX32" i="1"/>
  <c r="AW32" i="1"/>
  <c r="AU32" i="1" s="1"/>
  <c r="AV32" i="1"/>
  <c r="AT32" i="1"/>
  <c r="AR32" i="1"/>
  <c r="AQ32" i="1"/>
  <c r="AP32" i="1"/>
  <c r="AO32" i="1" s="1"/>
  <c r="AN32" i="1"/>
  <c r="AM32" i="1"/>
  <c r="AL32" i="1"/>
  <c r="AK32" i="1"/>
  <c r="AI32" i="1" s="1"/>
  <c r="AJ32" i="1"/>
  <c r="AH32" i="1"/>
  <c r="AF32" i="1"/>
  <c r="AE32" i="1"/>
  <c r="AD32" i="1"/>
  <c r="AC32" i="1" s="1"/>
  <c r="AB32" i="1"/>
  <c r="Z32" i="1"/>
  <c r="Z34" i="1" s="1"/>
  <c r="X32" i="1"/>
  <c r="V32" i="1"/>
  <c r="R32" i="1" s="1"/>
  <c r="T32" i="1"/>
  <c r="P32" i="1"/>
  <c r="O32" i="1"/>
  <c r="O34" i="1" s="1"/>
  <c r="L32" i="1"/>
  <c r="L34" i="1" s="1"/>
  <c r="J32" i="1"/>
  <c r="J34" i="1" s="1"/>
  <c r="H32" i="1"/>
  <c r="D32" i="1"/>
  <c r="D34" i="1" s="1"/>
  <c r="CI31" i="1"/>
  <c r="CI32" i="1" s="1"/>
  <c r="CC31" i="1"/>
  <c r="CC32" i="1" s="1"/>
  <c r="BW31" i="1"/>
  <c r="BQ31" i="1"/>
  <c r="BQ32" i="1" s="1"/>
  <c r="BK31" i="1"/>
  <c r="BE31" i="1"/>
  <c r="AY31" i="1"/>
  <c r="AY32" i="1" s="1"/>
  <c r="AY34" i="1" s="1"/>
  <c r="AS31" i="1"/>
  <c r="AS32" i="1" s="1"/>
  <c r="AS34" i="1" s="1"/>
  <c r="AM31" i="1"/>
  <c r="AG31" i="1"/>
  <c r="AG32" i="1" s="1"/>
  <c r="AA31" i="1"/>
  <c r="AA32" i="1" s="1"/>
  <c r="Z31" i="1"/>
  <c r="Y31" i="1"/>
  <c r="W31" i="1"/>
  <c r="S31" i="1" s="1"/>
  <c r="U31" i="1"/>
  <c r="Q31" i="1"/>
  <c r="N31" i="1"/>
  <c r="N32" i="1" s="1"/>
  <c r="N34" i="1" s="1"/>
  <c r="M31" i="1"/>
  <c r="K31" i="1"/>
  <c r="G31" i="1" s="1"/>
  <c r="I31" i="1"/>
  <c r="E31" i="1"/>
  <c r="Y30" i="1"/>
  <c r="W30" i="1"/>
  <c r="S30" i="1" s="1"/>
  <c r="U30" i="1"/>
  <c r="Q30" i="1"/>
  <c r="M30" i="1"/>
  <c r="K30" i="1"/>
  <c r="G30" i="1" s="1"/>
  <c r="I30" i="1"/>
  <c r="E30" i="1"/>
  <c r="Y29" i="1"/>
  <c r="W29" i="1"/>
  <c r="S29" i="1" s="1"/>
  <c r="U29" i="1"/>
  <c r="Q29" i="1"/>
  <c r="M29" i="1"/>
  <c r="K29" i="1"/>
  <c r="G29" i="1" s="1"/>
  <c r="I29" i="1"/>
  <c r="E29" i="1"/>
  <c r="Y28" i="1"/>
  <c r="W28" i="1"/>
  <c r="S28" i="1" s="1"/>
  <c r="U28" i="1"/>
  <c r="Q28" i="1"/>
  <c r="M28" i="1"/>
  <c r="K28" i="1"/>
  <c r="G28" i="1" s="1"/>
  <c r="I28" i="1"/>
  <c r="E28" i="1"/>
  <c r="E32" i="1" s="1"/>
  <c r="CH25" i="1"/>
  <c r="CG25" i="1"/>
  <c r="CF25" i="1"/>
  <c r="CE25" i="1"/>
  <c r="CD25" i="1"/>
  <c r="CB25" i="1"/>
  <c r="CA25" i="1"/>
  <c r="BZ25" i="1"/>
  <c r="BY25" i="1"/>
  <c r="BX25" i="1"/>
  <c r="BV25" i="1"/>
  <c r="BU25" i="1"/>
  <c r="BT25" i="1"/>
  <c r="BS25" i="1"/>
  <c r="BR25" i="1"/>
  <c r="BP25" i="1"/>
  <c r="BO25" i="1"/>
  <c r="BN25" i="1"/>
  <c r="BM25" i="1"/>
  <c r="BL25" i="1"/>
  <c r="BJ25" i="1"/>
  <c r="BI25" i="1"/>
  <c r="BH25" i="1"/>
  <c r="BG25" i="1"/>
  <c r="BF25" i="1"/>
  <c r="BD25" i="1"/>
  <c r="BC25" i="1"/>
  <c r="BB25" i="1"/>
  <c r="BA25" i="1"/>
  <c r="AZ25" i="1"/>
  <c r="AX25" i="1"/>
  <c r="AW25" i="1"/>
  <c r="AV25" i="1"/>
  <c r="AU25" i="1"/>
  <c r="AT25" i="1"/>
  <c r="AR25" i="1"/>
  <c r="AQ25" i="1"/>
  <c r="AP25" i="1"/>
  <c r="AO25" i="1"/>
  <c r="AN25" i="1"/>
  <c r="AL25" i="1"/>
  <c r="AK25" i="1"/>
  <c r="AJ25" i="1"/>
  <c r="AI25" i="1"/>
  <c r="AH25" i="1"/>
  <c r="AF25" i="1"/>
  <c r="AE25" i="1"/>
  <c r="AD25" i="1"/>
  <c r="AC25" i="1"/>
  <c r="AB25" i="1"/>
  <c r="X25" i="1"/>
  <c r="V25" i="1"/>
  <c r="R25" i="1" s="1"/>
  <c r="S26" i="1" s="1"/>
  <c r="T25" i="1"/>
  <c r="P25" i="1"/>
  <c r="L25" i="1"/>
  <c r="J25" i="1"/>
  <c r="F25" i="1" s="1"/>
  <c r="H25" i="1"/>
  <c r="H34" i="1" s="1"/>
  <c r="D25" i="1"/>
  <c r="Y24" i="1"/>
  <c r="W24" i="1"/>
  <c r="U24" i="1"/>
  <c r="Q24" i="1"/>
  <c r="M24" i="1"/>
  <c r="E24" i="1"/>
  <c r="CI23" i="1"/>
  <c r="CC23" i="1"/>
  <c r="BW23" i="1"/>
  <c r="BQ23" i="1"/>
  <c r="BK23" i="1"/>
  <c r="BE23" i="1"/>
  <c r="AY23" i="1"/>
  <c r="AS23" i="1"/>
  <c r="AM23" i="1"/>
  <c r="AG23" i="1"/>
  <c r="AA23" i="1"/>
  <c r="Z23" i="1"/>
  <c r="Y23" i="1"/>
  <c r="W23" i="1"/>
  <c r="U23" i="1"/>
  <c r="Q23" i="1"/>
  <c r="O23" i="1"/>
  <c r="N23" i="1"/>
  <c r="M23" i="1"/>
  <c r="E23" i="1"/>
  <c r="CI22" i="1"/>
  <c r="CC22" i="1"/>
  <c r="BW22" i="1"/>
  <c r="BQ22" i="1"/>
  <c r="BK22" i="1"/>
  <c r="BE22" i="1"/>
  <c r="AY22" i="1"/>
  <c r="AS22" i="1"/>
  <c r="AM22" i="1"/>
  <c r="AG22" i="1"/>
  <c r="AA22" i="1"/>
  <c r="Z22" i="1"/>
  <c r="Y22" i="1"/>
  <c r="W22" i="1"/>
  <c r="U22" i="1"/>
  <c r="Q22" i="1"/>
  <c r="O22" i="1"/>
  <c r="N22" i="1"/>
  <c r="M22" i="1"/>
  <c r="E22" i="1"/>
  <c r="Y21" i="1"/>
  <c r="W21" i="1"/>
  <c r="U21" i="1"/>
  <c r="Q21" i="1"/>
  <c r="M21" i="1"/>
  <c r="E21" i="1"/>
  <c r="Y20" i="1"/>
  <c r="W20" i="1"/>
  <c r="U20" i="1"/>
  <c r="Q20" i="1"/>
  <c r="M20" i="1"/>
  <c r="E20" i="1"/>
  <c r="CI19" i="1"/>
  <c r="CC19" i="1"/>
  <c r="BW19" i="1"/>
  <c r="BQ19" i="1"/>
  <c r="BK19" i="1"/>
  <c r="BE19" i="1"/>
  <c r="AY19" i="1"/>
  <c r="AS19" i="1"/>
  <c r="AM19" i="1"/>
  <c r="AG19" i="1"/>
  <c r="AA19" i="1"/>
  <c r="Z19" i="1"/>
  <c r="Y19" i="1"/>
  <c r="W19" i="1"/>
  <c r="S19" i="1" s="1"/>
  <c r="U19" i="1"/>
  <c r="Q19" i="1"/>
  <c r="O19" i="1"/>
  <c r="N19" i="1"/>
  <c r="M19" i="1"/>
  <c r="K19" i="1"/>
  <c r="I19" i="1"/>
  <c r="G19" i="1"/>
  <c r="E19" i="1"/>
  <c r="CI18" i="1"/>
  <c r="CC18" i="1"/>
  <c r="BW18" i="1"/>
  <c r="BQ18" i="1"/>
  <c r="BK18" i="1"/>
  <c r="BE18" i="1"/>
  <c r="AY18" i="1"/>
  <c r="AS18" i="1"/>
  <c r="AM18" i="1"/>
  <c r="AG18" i="1"/>
  <c r="AA18" i="1"/>
  <c r="Z18" i="1"/>
  <c r="Y18" i="1"/>
  <c r="W18" i="1"/>
  <c r="S18" i="1" s="1"/>
  <c r="U18" i="1"/>
  <c r="Q18" i="1"/>
  <c r="O18" i="1"/>
  <c r="N18" i="1"/>
  <c r="M18" i="1"/>
  <c r="K18" i="1"/>
  <c r="I18" i="1"/>
  <c r="G18" i="1"/>
  <c r="E18" i="1"/>
  <c r="CI17" i="1"/>
  <c r="CC17" i="1"/>
  <c r="BW17" i="1"/>
  <c r="BQ17" i="1"/>
  <c r="BK17" i="1"/>
  <c r="BE17" i="1"/>
  <c r="AY17" i="1"/>
  <c r="AS17" i="1"/>
  <c r="AM17" i="1"/>
  <c r="AG17" i="1"/>
  <c r="AA17" i="1"/>
  <c r="Z17" i="1"/>
  <c r="Y17" i="1"/>
  <c r="W17" i="1"/>
  <c r="U17" i="1"/>
  <c r="Q17" i="1"/>
  <c r="O17" i="1"/>
  <c r="N17" i="1"/>
  <c r="M17" i="1"/>
  <c r="K17" i="1"/>
  <c r="I17" i="1"/>
  <c r="G17" i="1"/>
  <c r="E17" i="1"/>
  <c r="CI16" i="1"/>
  <c r="CC16" i="1"/>
  <c r="BW16" i="1"/>
  <c r="BQ16" i="1"/>
  <c r="BK16" i="1"/>
  <c r="BE16" i="1"/>
  <c r="AY16" i="1"/>
  <c r="AS16" i="1"/>
  <c r="AM16" i="1"/>
  <c r="AG16" i="1"/>
  <c r="AA16" i="1"/>
  <c r="Z16" i="1"/>
  <c r="Y16" i="1"/>
  <c r="W16" i="1"/>
  <c r="U16" i="1"/>
  <c r="S16" i="1"/>
  <c r="Q16" i="1"/>
  <c r="O16" i="1"/>
  <c r="N16" i="1"/>
  <c r="M16" i="1"/>
  <c r="K16" i="1"/>
  <c r="I16" i="1"/>
  <c r="G16" i="1"/>
  <c r="E16" i="1"/>
  <c r="Y15" i="1"/>
  <c r="W15" i="1"/>
  <c r="U15" i="1"/>
  <c r="S15" i="1"/>
  <c r="Q15" i="1"/>
  <c r="M15" i="1"/>
  <c r="K15" i="1"/>
  <c r="I15" i="1"/>
  <c r="G15" i="1" s="1"/>
  <c r="E15" i="1"/>
  <c r="Y14" i="1"/>
  <c r="W14" i="1"/>
  <c r="U14" i="1"/>
  <c r="Q14" i="1"/>
  <c r="M14" i="1"/>
  <c r="K14" i="1"/>
  <c r="I14" i="1"/>
  <c r="E14" i="1"/>
  <c r="CI13" i="1"/>
  <c r="CC13" i="1"/>
  <c r="BW13" i="1"/>
  <c r="BQ13" i="1"/>
  <c r="BK13" i="1"/>
  <c r="BE13" i="1"/>
  <c r="AY13" i="1"/>
  <c r="AS13" i="1"/>
  <c r="AM13" i="1"/>
  <c r="AG13" i="1"/>
  <c r="AA13" i="1"/>
  <c r="Z13" i="1"/>
  <c r="Y13" i="1"/>
  <c r="W13" i="1"/>
  <c r="U13" i="1"/>
  <c r="Q13" i="1"/>
  <c r="O13" i="1"/>
  <c r="N13" i="1"/>
  <c r="M13" i="1"/>
  <c r="K13" i="1"/>
  <c r="I13" i="1"/>
  <c r="E13" i="1"/>
  <c r="CI12" i="1"/>
  <c r="CC12" i="1"/>
  <c r="BW12" i="1"/>
  <c r="BQ12" i="1"/>
  <c r="BK12" i="1"/>
  <c r="BE12" i="1"/>
  <c r="AY12" i="1"/>
  <c r="AS12" i="1"/>
  <c r="AM12" i="1"/>
  <c r="AG12" i="1"/>
  <c r="AA12" i="1"/>
  <c r="Z12" i="1"/>
  <c r="Y12" i="1"/>
  <c r="W12" i="1"/>
  <c r="U12" i="1"/>
  <c r="S12" i="1"/>
  <c r="Q12" i="1"/>
  <c r="O12" i="1"/>
  <c r="N12" i="1"/>
  <c r="M12" i="1"/>
  <c r="K12" i="1"/>
  <c r="I12" i="1"/>
  <c r="G12" i="1"/>
  <c r="E12" i="1"/>
  <c r="CI11" i="1"/>
  <c r="CC11" i="1"/>
  <c r="BW11" i="1"/>
  <c r="BQ11" i="1"/>
  <c r="BK11" i="1"/>
  <c r="BE11" i="1"/>
  <c r="AY11" i="1"/>
  <c r="AS11" i="1"/>
  <c r="AM11" i="1"/>
  <c r="AG11" i="1"/>
  <c r="AA11" i="1"/>
  <c r="Z11" i="1"/>
  <c r="Y11" i="1"/>
  <c r="W11" i="1"/>
  <c r="U11" i="1"/>
  <c r="S11" i="1"/>
  <c r="Q11" i="1"/>
  <c r="O11" i="1"/>
  <c r="N11" i="1"/>
  <c r="M11" i="1"/>
  <c r="K11" i="1"/>
  <c r="G11" i="1" s="1"/>
  <c r="I11" i="1"/>
  <c r="E11" i="1"/>
  <c r="CI10" i="1"/>
  <c r="CC10" i="1"/>
  <c r="BW10" i="1"/>
  <c r="BQ10" i="1"/>
  <c r="BK10" i="1"/>
  <c r="BE10" i="1"/>
  <c r="AY10" i="1"/>
  <c r="AS10" i="1"/>
  <c r="AM10" i="1"/>
  <c r="AG10" i="1"/>
  <c r="AA10" i="1"/>
  <c r="Z10" i="1"/>
  <c r="Y10" i="1"/>
  <c r="W10" i="1"/>
  <c r="U10" i="1"/>
  <c r="Q10" i="1"/>
  <c r="O10" i="1"/>
  <c r="N10" i="1"/>
  <c r="M10" i="1"/>
  <c r="K10" i="1"/>
  <c r="I10" i="1"/>
  <c r="E10" i="1"/>
  <c r="CI9" i="1"/>
  <c r="CC9" i="1"/>
  <c r="BW9" i="1"/>
  <c r="BQ9" i="1"/>
  <c r="BK9" i="1"/>
  <c r="BE9" i="1"/>
  <c r="AY9" i="1"/>
  <c r="AS9" i="1"/>
  <c r="AM9" i="1"/>
  <c r="AG9" i="1"/>
  <c r="AA9" i="1"/>
  <c r="Z9" i="1"/>
  <c r="Y9" i="1"/>
  <c r="W9" i="1"/>
  <c r="S9" i="1" s="1"/>
  <c r="U9" i="1"/>
  <c r="Q9" i="1"/>
  <c r="O9" i="1"/>
  <c r="N9" i="1"/>
  <c r="M9" i="1"/>
  <c r="K9" i="1"/>
  <c r="G9" i="1" s="1"/>
  <c r="I9" i="1"/>
  <c r="E9" i="1"/>
  <c r="CI8" i="1"/>
  <c r="CC8" i="1"/>
  <c r="BW8" i="1"/>
  <c r="BQ8" i="1"/>
  <c r="BK8" i="1"/>
  <c r="BE8" i="1"/>
  <c r="AY8" i="1"/>
  <c r="AS8" i="1"/>
  <c r="AM8" i="1"/>
  <c r="AG8" i="1"/>
  <c r="AA8" i="1"/>
  <c r="Z8" i="1"/>
  <c r="Y8" i="1"/>
  <c r="W8" i="1"/>
  <c r="U8" i="1"/>
  <c r="Q8" i="1"/>
  <c r="O8" i="1"/>
  <c r="N8" i="1"/>
  <c r="M8" i="1"/>
  <c r="K8" i="1"/>
  <c r="I8" i="1"/>
  <c r="E8" i="1"/>
  <c r="Y7" i="1"/>
  <c r="W7" i="1"/>
  <c r="U7" i="1"/>
  <c r="S7" i="1"/>
  <c r="Q7" i="1"/>
  <c r="M7" i="1"/>
  <c r="K7" i="1"/>
  <c r="I7" i="1"/>
  <c r="G7" i="1"/>
  <c r="E7" i="1"/>
  <c r="CI6" i="1"/>
  <c r="CC6" i="1"/>
  <c r="BW6" i="1"/>
  <c r="BQ6" i="1"/>
  <c r="BK6" i="1"/>
  <c r="BE6" i="1"/>
  <c r="AY6" i="1"/>
  <c r="AS6" i="1"/>
  <c r="AM6" i="1"/>
  <c r="AG6" i="1"/>
  <c r="AA6" i="1"/>
  <c r="Z6" i="1"/>
  <c r="Y6" i="1"/>
  <c r="W6" i="1"/>
  <c r="S6" i="1" s="1"/>
  <c r="U6" i="1"/>
  <c r="Q6" i="1"/>
  <c r="O6" i="1"/>
  <c r="N6" i="1"/>
  <c r="M6" i="1"/>
  <c r="K6" i="1"/>
  <c r="I6" i="1"/>
  <c r="G6" i="1"/>
  <c r="E6" i="1"/>
  <c r="CI5" i="1"/>
  <c r="CC5" i="1"/>
  <c r="BW5" i="1"/>
  <c r="BQ5" i="1"/>
  <c r="BK5" i="1"/>
  <c r="BE5" i="1"/>
  <c r="AY5" i="1"/>
  <c r="AS5" i="1"/>
  <c r="AM5" i="1"/>
  <c r="AG5" i="1"/>
  <c r="AA5" i="1"/>
  <c r="Z5" i="1"/>
  <c r="Y5" i="1"/>
  <c r="W5" i="1"/>
  <c r="S5" i="1" s="1"/>
  <c r="U5" i="1"/>
  <c r="Q5" i="1"/>
  <c r="O5" i="1"/>
  <c r="N5" i="1"/>
  <c r="M5" i="1"/>
  <c r="K5" i="1"/>
  <c r="I5" i="1"/>
  <c r="G5" i="1"/>
  <c r="E5" i="1"/>
  <c r="CI4" i="1"/>
  <c r="CC4" i="1"/>
  <c r="BW4" i="1"/>
  <c r="BQ4" i="1"/>
  <c r="BK4" i="1"/>
  <c r="BE4" i="1"/>
  <c r="AY4" i="1"/>
  <c r="AS4" i="1"/>
  <c r="AM4" i="1"/>
  <c r="AG4" i="1"/>
  <c r="AA4" i="1"/>
  <c r="Z4" i="1"/>
  <c r="Y4" i="1"/>
  <c r="W4" i="1"/>
  <c r="S4" i="1" s="1"/>
  <c r="U4" i="1"/>
  <c r="Q4" i="1"/>
  <c r="O4" i="1"/>
  <c r="N4" i="1"/>
  <c r="M4" i="1"/>
  <c r="K4" i="1"/>
  <c r="I4" i="1"/>
  <c r="G4" i="1" s="1"/>
  <c r="E4" i="1"/>
  <c r="CI3" i="1"/>
  <c r="CC3" i="1"/>
  <c r="BW3" i="1"/>
  <c r="BQ3" i="1"/>
  <c r="BK3" i="1"/>
  <c r="BE3" i="1"/>
  <c r="AY3" i="1"/>
  <c r="AS3" i="1"/>
  <c r="AM3" i="1"/>
  <c r="AG3" i="1"/>
  <c r="AA3" i="1"/>
  <c r="Z3" i="1"/>
  <c r="Y3" i="1"/>
  <c r="W3" i="1"/>
  <c r="S3" i="1" s="1"/>
  <c r="U3" i="1"/>
  <c r="Q3" i="1"/>
  <c r="O3" i="1"/>
  <c r="N3" i="1"/>
  <c r="M3" i="1"/>
  <c r="K3" i="1"/>
  <c r="I3" i="1"/>
  <c r="E3" i="1"/>
  <c r="CI2" i="1"/>
  <c r="CI25" i="1" s="1"/>
  <c r="CC2" i="1"/>
  <c r="CC25" i="1" s="1"/>
  <c r="BW2" i="1"/>
  <c r="BW25" i="1" s="1"/>
  <c r="BQ2" i="1"/>
  <c r="BQ25" i="1" s="1"/>
  <c r="BK2" i="1"/>
  <c r="BK25" i="1" s="1"/>
  <c r="BK34" i="1" s="1"/>
  <c r="BE2" i="1"/>
  <c r="BE25" i="1" s="1"/>
  <c r="BE34" i="1" s="1"/>
  <c r="AY2" i="1"/>
  <c r="AY25" i="1" s="1"/>
  <c r="AS2" i="1"/>
  <c r="AS25" i="1" s="1"/>
  <c r="AM2" i="1"/>
  <c r="AM25" i="1" s="1"/>
  <c r="AM34" i="1" s="1"/>
  <c r="AG2" i="1"/>
  <c r="AG25" i="1" s="1"/>
  <c r="AA2" i="1"/>
  <c r="AA25" i="1" s="1"/>
  <c r="Z2" i="1"/>
  <c r="Z25" i="1" s="1"/>
  <c r="Y2" i="1"/>
  <c r="Y25" i="1" s="1"/>
  <c r="Y26" i="1" s="1"/>
  <c r="W2" i="1"/>
  <c r="W25" i="1" s="1"/>
  <c r="W26" i="1" s="1"/>
  <c r="U2" i="1"/>
  <c r="U25" i="1" s="1"/>
  <c r="U26" i="1" s="1"/>
  <c r="Q2" i="1"/>
  <c r="Q25" i="1" s="1"/>
  <c r="Q26" i="1" s="1"/>
  <c r="O2" i="1"/>
  <c r="O25" i="1" s="1"/>
  <c r="N2" i="1"/>
  <c r="N25" i="1" s="1"/>
  <c r="M2" i="1"/>
  <c r="M25" i="1" s="1"/>
  <c r="M26" i="1" s="1"/>
  <c r="K2" i="1"/>
  <c r="K25" i="1" s="1"/>
  <c r="I2" i="1"/>
  <c r="I25" i="1" s="1"/>
  <c r="I26" i="1" s="1"/>
  <c r="G2" i="1"/>
  <c r="E2" i="1"/>
  <c r="E25" i="1" s="1"/>
  <c r="E26" i="1" s="1"/>
  <c r="E13" i="2" l="1"/>
  <c r="D3" i="2"/>
  <c r="D4" i="2" s="1"/>
  <c r="BQ34" i="1"/>
  <c r="BW34" i="1"/>
  <c r="CC34" i="1"/>
  <c r="CI34" i="1"/>
  <c r="AA34" i="1"/>
  <c r="G25" i="1"/>
  <c r="G26" i="1" s="1"/>
  <c r="K26" i="1"/>
  <c r="AG34" i="1"/>
  <c r="E34" i="1"/>
  <c r="S2" i="1"/>
  <c r="F32" i="1"/>
</calcChain>
</file>

<file path=xl/sharedStrings.xml><?xml version="1.0" encoding="utf-8"?>
<sst xmlns="http://schemas.openxmlformats.org/spreadsheetml/2006/main" count="354" uniqueCount="145">
  <si>
    <t>Status</t>
  </si>
  <si>
    <t>Type</t>
  </si>
  <si>
    <t xml:space="preserve">Projects </t>
  </si>
  <si>
    <t>Apr-26 Units Target</t>
  </si>
  <si>
    <t>Apr-26 Units Actual</t>
  </si>
  <si>
    <t>Apr-26 Rate Target</t>
  </si>
  <si>
    <t>Apr-26 Rate Actual</t>
  </si>
  <si>
    <t>Apr-26 Area Target</t>
  </si>
  <si>
    <t>Apr-26 Area Actual</t>
  </si>
  <si>
    <t>Apr-26 Sales Value Target</t>
  </si>
  <si>
    <t>Apr-26 Sales Value Actual</t>
  </si>
  <si>
    <t>Apr-26 Collection Target</t>
  </si>
  <si>
    <t>Apr-26 Collection Actual</t>
  </si>
  <si>
    <t>Apr-26 Construction Target</t>
  </si>
  <si>
    <t>Apr-26 Construction Actual</t>
  </si>
  <si>
    <t>May-26 Units Target</t>
  </si>
  <si>
    <t>May-26 Units Actual</t>
  </si>
  <si>
    <t>May-26 Rate Target</t>
  </si>
  <si>
    <t>May-26 Rate Actual</t>
  </si>
  <si>
    <t>May-26 Area Target</t>
  </si>
  <si>
    <t>May-26 Area Actual</t>
  </si>
  <si>
    <t>May-26 Sales Value Target</t>
  </si>
  <si>
    <t>May-26 Sales Value Actual</t>
  </si>
  <si>
    <t>May-26 Collection Target</t>
  </si>
  <si>
    <t>May-26 Construction Target</t>
  </si>
  <si>
    <t>May-26 Construction Actual</t>
  </si>
  <si>
    <t>Jun-26 Units Target</t>
  </si>
  <si>
    <t>Jun-26 Rate Target</t>
  </si>
  <si>
    <t>Jun-26 Area Target</t>
  </si>
  <si>
    <t>Jun-26 Sales Value Target</t>
  </si>
  <si>
    <t>Jun-26 Collection Target</t>
  </si>
  <si>
    <t>Jun-26 Construction Target</t>
  </si>
  <si>
    <t>Jul-26 Units Target</t>
  </si>
  <si>
    <t>Jul-26 Rate Target</t>
  </si>
  <si>
    <t>Jul-26 Area Target</t>
  </si>
  <si>
    <t>Jul-26 Sales Value Target</t>
  </si>
  <si>
    <t>Jul-26 Collection Target</t>
  </si>
  <si>
    <t>Jul-26 Construction Target</t>
  </si>
  <si>
    <t>Aug-26 Units Target</t>
  </si>
  <si>
    <t>Aug-26 Rate Target</t>
  </si>
  <si>
    <t>Aug-26 Area Target</t>
  </si>
  <si>
    <t>Aug-26 Sales Value Target</t>
  </si>
  <si>
    <t>Aug-26 Collection Target</t>
  </si>
  <si>
    <t>Aug-26 Construction Target</t>
  </si>
  <si>
    <t>Sep-26 Units Target</t>
  </si>
  <si>
    <t>Sep-26 Rate Target</t>
  </si>
  <si>
    <t>Sep-26 Area Target</t>
  </si>
  <si>
    <t>Sep-26 Sales Value Target</t>
  </si>
  <si>
    <t>Sep-26 Collection Target</t>
  </si>
  <si>
    <t>Sep-26 Construction Target</t>
  </si>
  <si>
    <t>Oct-26 Units Target</t>
  </si>
  <si>
    <t>Oct-26 Rate Target</t>
  </si>
  <si>
    <t>Oct-26 Area Target</t>
  </si>
  <si>
    <t>Oct-26 Sales Value Target</t>
  </si>
  <si>
    <t>Oct-26 Collection Target</t>
  </si>
  <si>
    <t>Oct-26 Construction Target</t>
  </si>
  <si>
    <t>Nov-26 Units Target</t>
  </si>
  <si>
    <t>Nov-26 Rate Target</t>
  </si>
  <si>
    <t>Nov-26 Area Target</t>
  </si>
  <si>
    <t>Nov-26 Sales Value Target</t>
  </si>
  <si>
    <t>Nov-26 Collection Target</t>
  </si>
  <si>
    <t>Nov-26 Construction Target</t>
  </si>
  <si>
    <t>Dec-26 Units Target</t>
  </si>
  <si>
    <t>Dec-26 Rate Target</t>
  </si>
  <si>
    <t>Dec-26 Area Target</t>
  </si>
  <si>
    <t>Dec-26 Sales Value Target</t>
  </si>
  <si>
    <t>Dec-26 Collection Target</t>
  </si>
  <si>
    <t>Dec-26 Construction Target</t>
  </si>
  <si>
    <t>Jan-27 Units Target</t>
  </si>
  <si>
    <t>Jan-27 Rate Target</t>
  </si>
  <si>
    <t>Jan-27 Area Target</t>
  </si>
  <si>
    <t>Jan-27 Sales Value Target</t>
  </si>
  <si>
    <t>Jan-27 Collection Target</t>
  </si>
  <si>
    <t>Jan-27 Construction Target</t>
  </si>
  <si>
    <t>Feb-27 Units Target</t>
  </si>
  <si>
    <t>Feb-27 Rate Target</t>
  </si>
  <si>
    <t>Feb-27 Area Target</t>
  </si>
  <si>
    <t>Feb-27 Sales Value Target</t>
  </si>
  <si>
    <t>Feb-27 Collection Target</t>
  </si>
  <si>
    <t>Feb-27 Construction Target</t>
  </si>
  <si>
    <t>Mar-27 Units Target</t>
  </si>
  <si>
    <t>Mar-27 Rate Target</t>
  </si>
  <si>
    <t>Mar-27 Area Target</t>
  </si>
  <si>
    <t>Mar-27 Sales Value Target</t>
  </si>
  <si>
    <t>Mar-27 Collection Target</t>
  </si>
  <si>
    <t>Mar-27 Construction Target</t>
  </si>
  <si>
    <t>On Going</t>
  </si>
  <si>
    <t>RESIDENTIAL</t>
  </si>
  <si>
    <t>NYATI EMERALD I</t>
  </si>
  <si>
    <t>NYATI EMERALD II</t>
  </si>
  <si>
    <t>NYATI EMERALD III</t>
  </si>
  <si>
    <t>NYATI EQUINOX I</t>
  </si>
  <si>
    <t>NYATI EQUINOX II</t>
  </si>
  <si>
    <t>Completed</t>
  </si>
  <si>
    <t>NYATI ERA II</t>
  </si>
  <si>
    <t>NYATI ERA III</t>
  </si>
  <si>
    <t>NYATI ERA IV</t>
  </si>
  <si>
    <t>NYATI EXUBERANCE I</t>
  </si>
  <si>
    <t>NYATI EXUBERANCE IV</t>
  </si>
  <si>
    <t>NYATI ESTEBAN II</t>
  </si>
  <si>
    <t>NYATI ESTEBAN III</t>
  </si>
  <si>
    <t>COMMERCIAL</t>
  </si>
  <si>
    <t>NYATI PLAZA &amp; NYATI ENTHRAL I</t>
  </si>
  <si>
    <t>NYATI EMPRESS</t>
  </si>
  <si>
    <t>LUXURY</t>
  </si>
  <si>
    <t>NYATI EVOQUE</t>
  </si>
  <si>
    <t>NYATI EVANIA</t>
  </si>
  <si>
    <t>NYATI ELENOR</t>
  </si>
  <si>
    <t>NYATI EMBLEM</t>
  </si>
  <si>
    <t>NYATI ELAN COMMERCIAL</t>
  </si>
  <si>
    <t>NYATI DEFENCE ENCLAVE III</t>
  </si>
  <si>
    <t>NYATI QUANTUM TOWERS</t>
  </si>
  <si>
    <t>NYATI UNITREE EXTENSION</t>
  </si>
  <si>
    <t>Old Projects</t>
  </si>
  <si>
    <t>TOTAL</t>
  </si>
  <si>
    <t>Upcoming</t>
  </si>
  <si>
    <t>NYATI ELARIS</t>
  </si>
  <si>
    <t>NYATI EKATVA</t>
  </si>
  <si>
    <t>REDEV PATRAKARNAGAR</t>
  </si>
  <si>
    <t>NYATI ETHOS</t>
  </si>
  <si>
    <t>GRAND TOTAL</t>
  </si>
  <si>
    <t>TYPE</t>
  </si>
  <si>
    <t>Projects</t>
  </si>
  <si>
    <t>Total</t>
  </si>
  <si>
    <t>Planned</t>
  </si>
  <si>
    <t>Actual</t>
  </si>
  <si>
    <t>Effi. %</t>
  </si>
  <si>
    <t>Nyati Emerald - I</t>
  </si>
  <si>
    <t>Nyati Emerald - II</t>
  </si>
  <si>
    <t>Nyati Emerald - III</t>
  </si>
  <si>
    <t>Nyati Equinox - I</t>
  </si>
  <si>
    <t>Nyati Equinox - II</t>
  </si>
  <si>
    <t>Nyati Era - III</t>
  </si>
  <si>
    <t>Nyati Era - IV</t>
  </si>
  <si>
    <t>Nyati Exuberance-I</t>
  </si>
  <si>
    <t>Nyati Exuberance-IV</t>
  </si>
  <si>
    <t>Nyati Esteban - II</t>
  </si>
  <si>
    <t>Nyati Esteban - III</t>
  </si>
  <si>
    <t>Nyati Evoque</t>
  </si>
  <si>
    <t>Nyati Evania</t>
  </si>
  <si>
    <t>Nyati Elenor</t>
  </si>
  <si>
    <t>Nyati Emblem</t>
  </si>
  <si>
    <t>Nyati Ethos</t>
  </si>
  <si>
    <t>Nyati Quantum Towers</t>
  </si>
  <si>
    <t>Nyati Unitree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</si>
</sst>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00B050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b/>
      <sz val="15"/>
      <color rgb="FF0070C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3" fillId="2" borderId="4" xfId="1" applyNumberFormat="1" applyFont="1" applyFill="1" applyBorder="1" applyAlignment="1">
      <alignment horizontal="center" vertical="center" wrapText="1"/>
    </xf>
    <xf numFmtId="0" fontId="2" fillId="2" borderId="4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5" fillId="0" borderId="6" xfId="3" applyFont="1" applyBorder="1" applyAlignment="1">
      <alignment horizontal="left" vertical="center"/>
    </xf>
    <xf numFmtId="0" fontId="5" fillId="0" borderId="7" xfId="3" applyFont="1" applyBorder="1" applyAlignment="1">
      <alignment horizontal="left" vertical="center"/>
    </xf>
    <xf numFmtId="1" fontId="6" fillId="0" borderId="8" xfId="4" applyNumberFormat="1" applyFont="1" applyFill="1" applyBorder="1" applyAlignment="1">
      <alignment horizontal="center" vertical="center"/>
    </xf>
    <xf numFmtId="1" fontId="3" fillId="0" borderId="6" xfId="4" applyNumberFormat="1" applyFont="1" applyFill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6" fillId="0" borderId="6" xfId="4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1" fontId="3" fillId="0" borderId="9" xfId="1" applyNumberFormat="1" applyFont="1" applyFill="1" applyBorder="1" applyAlignment="1">
      <alignment horizontal="center" vertical="center"/>
    </xf>
    <xf numFmtId="1" fontId="6" fillId="0" borderId="10" xfId="4" applyNumberFormat="1" applyFont="1" applyFill="1" applyBorder="1" applyAlignment="1">
      <alignment horizontal="center" vertical="center"/>
    </xf>
    <xf numFmtId="1" fontId="6" fillId="0" borderId="6" xfId="5" applyNumberFormat="1" applyFont="1" applyFill="1" applyBorder="1" applyAlignment="1">
      <alignment horizontal="center" vertical="center"/>
    </xf>
    <xf numFmtId="1" fontId="3" fillId="0" borderId="9" xfId="4" applyNumberFormat="1" applyFont="1" applyFill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6" xfId="1" applyNumberFormat="1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1" fontId="7" fillId="0" borderId="0" xfId="1" applyNumberFormat="1" applyFont="1" applyFill="1" applyAlignment="1">
      <alignment horizontal="center" vertical="center"/>
    </xf>
    <xf numFmtId="9" fontId="7" fillId="0" borderId="0" xfId="2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7" fillId="0" borderId="0" xfId="1" applyNumberFormat="1" applyFont="1" applyFill="1" applyAlignment="1">
      <alignment horizontal="center" vertical="center"/>
    </xf>
    <xf numFmtId="0" fontId="8" fillId="0" borderId="0" xfId="1" applyNumberFormat="1" applyFont="1" applyFill="1" applyAlignment="1">
      <alignment horizontal="center" vertical="center"/>
    </xf>
    <xf numFmtId="4" fontId="7" fillId="0" borderId="0" xfId="1" applyNumberFormat="1" applyFont="1" applyFill="1" applyAlignment="1">
      <alignment horizontal="center" vertical="center"/>
    </xf>
    <xf numFmtId="0" fontId="9" fillId="0" borderId="0" xfId="6"/>
    <xf numFmtId="0" fontId="10" fillId="0" borderId="11" xfId="6" applyFont="1" applyBorder="1" applyAlignment="1">
      <alignment horizontal="center" wrapText="1"/>
    </xf>
    <xf numFmtId="0" fontId="10" fillId="0" borderId="12" xfId="6" applyFont="1" applyBorder="1" applyAlignment="1">
      <alignment horizontal="center" wrapText="1"/>
    </xf>
    <xf numFmtId="17" fontId="10" fillId="0" borderId="1" xfId="6" applyNumberFormat="1" applyFont="1" applyBorder="1" applyAlignment="1">
      <alignment horizontal="center" wrapText="1"/>
    </xf>
    <xf numFmtId="17" fontId="10" fillId="0" borderId="13" xfId="6" applyNumberFormat="1" applyFont="1" applyBorder="1" applyAlignment="1">
      <alignment horizontal="center" wrapText="1"/>
    </xf>
    <xf numFmtId="17" fontId="10" fillId="0" borderId="14" xfId="6" applyNumberFormat="1" applyFont="1" applyBorder="1" applyAlignment="1">
      <alignment horizontal="center" wrapText="1"/>
    </xf>
    <xf numFmtId="0" fontId="10" fillId="0" borderId="0" xfId="6" applyFont="1" applyAlignment="1">
      <alignment horizontal="center" wrapText="1"/>
    </xf>
    <xf numFmtId="2" fontId="10" fillId="0" borderId="6" xfId="6" applyNumberFormat="1" applyFont="1" applyBorder="1" applyAlignment="1">
      <alignment horizontal="center" shrinkToFit="1"/>
    </xf>
    <xf numFmtId="9" fontId="10" fillId="0" borderId="6" xfId="7" applyFont="1" applyFill="1" applyBorder="1" applyAlignment="1">
      <alignment horizontal="center"/>
    </xf>
    <xf numFmtId="0" fontId="11" fillId="0" borderId="0" xfId="6" applyFont="1"/>
    <xf numFmtId="0" fontId="10" fillId="0" borderId="6" xfId="6" applyFont="1" applyBorder="1" applyAlignment="1">
      <alignment horizontal="center" wrapText="1"/>
    </xf>
    <xf numFmtId="2" fontId="12" fillId="0" borderId="6" xfId="6" applyNumberFormat="1" applyFont="1" applyBorder="1" applyAlignment="1">
      <alignment horizontal="center" shrinkToFit="1"/>
    </xf>
    <xf numFmtId="9" fontId="10" fillId="0" borderId="6" xfId="7" applyFont="1" applyFill="1" applyBorder="1" applyAlignment="1">
      <alignment horizontal="center" shrinkToFit="1"/>
    </xf>
    <xf numFmtId="43" fontId="12" fillId="0" borderId="6" xfId="8" applyFont="1" applyFill="1" applyBorder="1" applyAlignment="1">
      <alignment horizontal="center" shrinkToFit="1"/>
    </xf>
  </cellXfs>
  <cellStyles count="9">
    <cellStyle name="Comma" xfId="1" builtinId="3"/>
    <cellStyle name="Comma 10 2 2 7" xfId="4"/>
    <cellStyle name="Comma 13 6" xfId="5"/>
    <cellStyle name="Comma 2" xfId="8"/>
    <cellStyle name="Normal" xfId="0" builtinId="0"/>
    <cellStyle name="Normal 2" xfId="3"/>
    <cellStyle name="Normal 4" xfId="6"/>
    <cellStyle name="Percent" xfId="2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9%20june/Data%20MIS%20for%20Dashboard%20(Second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_DEC25\RE%20Review\RE_Review_2026-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Target Sheet"/>
      <sheetName val="Construction Budget"/>
      <sheetName val="Booking Apr"/>
      <sheetName val="Cancel Apr"/>
      <sheetName val="Coll Apr"/>
      <sheetName val="Booking May"/>
      <sheetName val="Cancel May"/>
      <sheetName val="Coll May"/>
      <sheetName val="Ageing Apr"/>
      <sheetName val="Ageing May"/>
    </sheetNames>
    <sheetDataSet>
      <sheetData sheetId="0">
        <row r="2">
          <cell r="C2" t="str">
            <v>NYATI EMERALD I</v>
          </cell>
        </row>
        <row r="3">
          <cell r="C3" t="str">
            <v>NYATI EMERALD II</v>
          </cell>
        </row>
        <row r="4">
          <cell r="C4" t="str">
            <v>NYATI EMERALD III</v>
          </cell>
        </row>
        <row r="5">
          <cell r="C5" t="str">
            <v>NYATI EQUINOX I</v>
          </cell>
        </row>
        <row r="6">
          <cell r="C6" t="str">
            <v>NYATI EQUINOX II</v>
          </cell>
        </row>
        <row r="7">
          <cell r="C7" t="str">
            <v>NYATI ERA II</v>
          </cell>
        </row>
        <row r="8">
          <cell r="C8" t="str">
            <v>NYATI ERA III</v>
          </cell>
        </row>
        <row r="9">
          <cell r="C9" t="str">
            <v>NYATI ERA IV</v>
          </cell>
        </row>
        <row r="10">
          <cell r="C10" t="str">
            <v>NYATI EXUBERANCE I</v>
          </cell>
        </row>
        <row r="11">
          <cell r="C11" t="str">
            <v>NYATI EXUBERANCE IV</v>
          </cell>
        </row>
        <row r="12">
          <cell r="C12" t="str">
            <v>NYATI ESTEBAN II</v>
          </cell>
        </row>
        <row r="13">
          <cell r="C13" t="str">
            <v>NYATI ESTEBAN III</v>
          </cell>
        </row>
        <row r="14">
          <cell r="C14" t="str">
            <v>NYATI PLAZA &amp; NYATI ENTHRAL I</v>
          </cell>
        </row>
        <row r="15">
          <cell r="C15" t="str">
            <v>NYATI EMPRESS</v>
          </cell>
        </row>
        <row r="16">
          <cell r="C16" t="str">
            <v>NYATI EVOQUE</v>
          </cell>
        </row>
        <row r="17">
          <cell r="C17" t="str">
            <v>NYATI EVANIA</v>
          </cell>
        </row>
        <row r="18">
          <cell r="C18" t="str">
            <v>NYATI ELENOR</v>
          </cell>
        </row>
        <row r="19">
          <cell r="C19" t="str">
            <v>NYATI EMBLEM</v>
          </cell>
        </row>
        <row r="20">
          <cell r="C20" t="str">
            <v>NYATI ELAN COMMERCIAL</v>
          </cell>
        </row>
        <row r="21">
          <cell r="C21" t="str">
            <v>NYATI DEFENCE ENCLAVE III</v>
          </cell>
        </row>
        <row r="22">
          <cell r="C22" t="str">
            <v>NYATI QUANTUM TOWERS</v>
          </cell>
        </row>
        <row r="23">
          <cell r="C23" t="str">
            <v>NYATI UNITREE EXTENSION</v>
          </cell>
        </row>
        <row r="24">
          <cell r="C24" t="str">
            <v>Old Projects</v>
          </cell>
        </row>
        <row r="28">
          <cell r="C28" t="str">
            <v>NYATI ELARIS</v>
          </cell>
        </row>
        <row r="29">
          <cell r="C29" t="str">
            <v>NYATI EKATVA</v>
          </cell>
        </row>
        <row r="30">
          <cell r="C30" t="str">
            <v>REDEV PATRAKARNAGAR</v>
          </cell>
        </row>
        <row r="31">
          <cell r="C31" t="str">
            <v>NYATI ETHOS</v>
          </cell>
        </row>
      </sheetData>
      <sheetData sheetId="1">
        <row r="5">
          <cell r="D5">
            <v>8.2975269012319668</v>
          </cell>
          <cell r="E5">
            <v>8.5868029860174406</v>
          </cell>
          <cell r="F5">
            <v>9.35919072143367</v>
          </cell>
          <cell r="G5">
            <v>12.127370595819837</v>
          </cell>
          <cell r="H5">
            <v>12.06104681345229</v>
          </cell>
          <cell r="I5">
            <v>12.921313241553761</v>
          </cell>
          <cell r="J5">
            <v>12.210435829343748</v>
          </cell>
          <cell r="K5">
            <v>13.026793349648077</v>
          </cell>
          <cell r="L5">
            <v>12.130212430846386</v>
          </cell>
          <cell r="M5">
            <v>10.811711079667433</v>
          </cell>
          <cell r="N5">
            <v>12.130212430846386</v>
          </cell>
          <cell r="O5">
            <v>11.339111620139013</v>
          </cell>
        </row>
        <row r="6">
          <cell r="D6">
            <v>2.8323535439996999</v>
          </cell>
          <cell r="E6">
            <v>4.0911773410963006</v>
          </cell>
        </row>
        <row r="8">
          <cell r="D8">
            <v>1.5625199999999999</v>
          </cell>
          <cell r="E8">
            <v>2.4271144000000002</v>
          </cell>
          <cell r="F8">
            <v>2.2916960000000004</v>
          </cell>
          <cell r="G8">
            <v>2.1875279999999999</v>
          </cell>
          <cell r="H8">
            <v>2.3021128000000002</v>
          </cell>
          <cell r="I8">
            <v>1.875024</v>
          </cell>
          <cell r="J8">
            <v>2.1666943999999999</v>
          </cell>
          <cell r="K8">
            <v>1.770856</v>
          </cell>
          <cell r="L8">
            <v>1.6041872000000001</v>
          </cell>
          <cell r="M8">
            <v>1.9791919999999998</v>
          </cell>
          <cell r="N8">
            <v>2.1979447999999997</v>
          </cell>
          <cell r="O8">
            <v>2.6354503999999999</v>
          </cell>
        </row>
        <row r="9">
          <cell r="D9">
            <v>0.24127498695500005</v>
          </cell>
          <cell r="E9">
            <v>0.627314965966</v>
          </cell>
        </row>
        <row r="11">
          <cell r="D11">
            <v>5.5858996367056939</v>
          </cell>
          <cell r="E11">
            <v>6.0158221747851721</v>
          </cell>
          <cell r="F11">
            <v>8.1148014736112177</v>
          </cell>
          <cell r="G11">
            <v>6.6208722097571604</v>
          </cell>
          <cell r="H11">
            <v>8.835553963920928</v>
          </cell>
          <cell r="I11">
            <v>8.8960643943625612</v>
          </cell>
          <cell r="J11">
            <v>9.4609007710769255</v>
          </cell>
          <cell r="K11">
            <v>9.100388852311216</v>
          </cell>
          <cell r="L11">
            <v>7.0125890590196764</v>
          </cell>
          <cell r="M11">
            <v>5.2994112400228408</v>
          </cell>
          <cell r="N11">
            <v>9.6758077706723231</v>
          </cell>
          <cell r="O11">
            <v>5.3830404537542824</v>
          </cell>
        </row>
        <row r="12">
          <cell r="D12">
            <v>2.4366195803718997</v>
          </cell>
          <cell r="E12">
            <v>1.9303090181922997</v>
          </cell>
        </row>
        <row r="14">
          <cell r="D14">
            <v>5.6000716800000001</v>
          </cell>
          <cell r="E14">
            <v>6.65008512</v>
          </cell>
          <cell r="F14">
            <v>8.0501030400000015</v>
          </cell>
          <cell r="G14">
            <v>8.4001075200000006</v>
          </cell>
          <cell r="H14">
            <v>9.1001164800000005</v>
          </cell>
          <cell r="I14">
            <v>7.7000985600000007</v>
          </cell>
          <cell r="J14">
            <v>8.7501119999999997</v>
          </cell>
          <cell r="K14">
            <v>8.4001075200000006</v>
          </cell>
          <cell r="L14">
            <v>7.3500940799999999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3.7146926673882001</v>
          </cell>
          <cell r="E15">
            <v>7.2783815645559002</v>
          </cell>
        </row>
        <row r="17">
          <cell r="D17">
            <v>1.934336767481637</v>
          </cell>
          <cell r="E17">
            <v>1.4646423593041999</v>
          </cell>
          <cell r="F17">
            <v>0.95405214489752033</v>
          </cell>
          <cell r="G17">
            <v>3.4801442550839887</v>
          </cell>
          <cell r="H17">
            <v>3.5715187132265536</v>
          </cell>
          <cell r="I17">
            <v>3.6746355315735539</v>
          </cell>
          <cell r="J17">
            <v>3.9796669575738437</v>
          </cell>
          <cell r="K17">
            <v>3.6560996986071643</v>
          </cell>
          <cell r="L17">
            <v>3.9768325947658765</v>
          </cell>
          <cell r="M17">
            <v>4.6787647936532686</v>
          </cell>
          <cell r="N17">
            <v>5.7529433079870307</v>
          </cell>
          <cell r="O17">
            <v>2.8768748758453628</v>
          </cell>
        </row>
        <row r="18">
          <cell r="D18">
            <v>0.67186584465880006</v>
          </cell>
          <cell r="E18">
            <v>1.1757652247614001</v>
          </cell>
        </row>
        <row r="20">
          <cell r="D20">
            <v>2.20002816</v>
          </cell>
          <cell r="E20">
            <v>3.0000383999999998</v>
          </cell>
          <cell r="F20">
            <v>3.6000460799999998</v>
          </cell>
          <cell r="G20">
            <v>3.4000435200000001</v>
          </cell>
          <cell r="H20">
            <v>4.6000588800000006</v>
          </cell>
          <cell r="I20">
            <v>3.2000409599999999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3.0152850062995</v>
          </cell>
          <cell r="E21">
            <v>2.5144411707120002</v>
          </cell>
        </row>
        <row r="23">
          <cell r="D23">
            <v>2.1507854158131909</v>
          </cell>
          <cell r="E23">
            <v>3.2261781237197873</v>
          </cell>
          <cell r="F23">
            <v>3.3460075968865222</v>
          </cell>
          <cell r="G23">
            <v>4.7132926112249081</v>
          </cell>
          <cell r="H23">
            <v>5.214118358049979</v>
          </cell>
          <cell r="I23">
            <v>5.5428812716099953</v>
          </cell>
          <cell r="J23">
            <v>5.5613165751741089</v>
          </cell>
          <cell r="K23">
            <v>5.5797518787382234</v>
          </cell>
          <cell r="L23">
            <v>4.3200061351904955</v>
          </cell>
          <cell r="M23">
            <v>2.5625071954117167</v>
          </cell>
          <cell r="N23">
            <v>1.8681107611634575</v>
          </cell>
          <cell r="O23">
            <v>5.9156840770176169</v>
          </cell>
        </row>
        <row r="24">
          <cell r="D24">
            <v>0.94510000000000005</v>
          </cell>
          <cell r="E24">
            <v>0.37999999999999901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0.22000281599999999</v>
          </cell>
          <cell r="I26">
            <v>0.28000358400000003</v>
          </cell>
          <cell r="J26">
            <v>0.32000409600000002</v>
          </cell>
          <cell r="K26">
            <v>0.18000230399999997</v>
          </cell>
          <cell r="L26">
            <v>0.30000383999999997</v>
          </cell>
          <cell r="M26">
            <v>0.26000332800000003</v>
          </cell>
          <cell r="N26">
            <v>0.24000307199999998</v>
          </cell>
          <cell r="O26">
            <v>0.20000256</v>
          </cell>
        </row>
        <row r="27">
          <cell r="D27">
            <v>0.2635577442</v>
          </cell>
          <cell r="E27">
            <v>6.588943605E-2</v>
          </cell>
        </row>
        <row r="29">
          <cell r="D29">
            <v>1.0977574445498852</v>
          </cell>
          <cell r="E29">
            <v>1.124658533575668</v>
          </cell>
          <cell r="F29">
            <v>1.124658533575668</v>
          </cell>
          <cell r="G29">
            <v>1.7278219646470332</v>
          </cell>
          <cell r="H29">
            <v>1.5828616867128822</v>
          </cell>
          <cell r="I29">
            <v>1.7487718411529125</v>
          </cell>
          <cell r="J29">
            <v>1.8681982005050424</v>
          </cell>
          <cell r="K29">
            <v>1.4820127610377496</v>
          </cell>
          <cell r="L29">
            <v>1.2090612030302543</v>
          </cell>
          <cell r="M29">
            <v>1.0398135442716292</v>
          </cell>
          <cell r="N29">
            <v>0.83811569292136479</v>
          </cell>
          <cell r="O29">
            <v>0.15646059401991219</v>
          </cell>
        </row>
        <row r="30">
          <cell r="D30">
            <v>1.6909780913312003</v>
          </cell>
          <cell r="E30">
            <v>1.3814687090919</v>
          </cell>
        </row>
        <row r="32">
          <cell r="D32">
            <v>5.2383569258940961</v>
          </cell>
          <cell r="E32">
            <v>5.7546944970405196</v>
          </cell>
          <cell r="F32">
            <v>9.7656809460531377</v>
          </cell>
          <cell r="G32">
            <v>7.6170244438311983</v>
          </cell>
          <cell r="H32">
            <v>8.715123808895699</v>
          </cell>
          <cell r="I32">
            <v>8.4852124463509355</v>
          </cell>
          <cell r="J32">
            <v>11.71473693899104</v>
          </cell>
          <cell r="K32">
            <v>9.4856488298173254</v>
          </cell>
          <cell r="L32">
            <v>8.6468350365769577</v>
          </cell>
          <cell r="M32">
            <v>8.7742761102556006</v>
          </cell>
          <cell r="N32">
            <v>7.6389840739517281</v>
          </cell>
          <cell r="O32">
            <v>8.1647059423417581</v>
          </cell>
        </row>
        <row r="33">
          <cell r="D33">
            <v>3.7366644630400003</v>
          </cell>
          <cell r="E33">
            <v>3.4447375516171999</v>
          </cell>
        </row>
        <row r="35">
          <cell r="D35">
            <v>0.50469162054405048</v>
          </cell>
          <cell r="E35">
            <v>0.75703743081607577</v>
          </cell>
          <cell r="F35">
            <v>0.75703743081607577</v>
          </cell>
          <cell r="G35">
            <v>0.8691911242703092</v>
          </cell>
          <cell r="H35">
            <v>1.0912554373096912</v>
          </cell>
          <cell r="I35">
            <v>1.2022875938293827</v>
          </cell>
          <cell r="J35">
            <v>1.2022875938293827</v>
          </cell>
          <cell r="K35">
            <v>0.71778363810709378</v>
          </cell>
          <cell r="L35">
            <v>0.63703297882004606</v>
          </cell>
          <cell r="M35">
            <v>0.72908873040728084</v>
          </cell>
          <cell r="N35">
            <v>1.5422478694278554</v>
          </cell>
          <cell r="O35">
            <v>1.9902121518227547</v>
          </cell>
        </row>
        <row r="36">
          <cell r="D36">
            <v>0</v>
          </cell>
          <cell r="E36">
            <v>8.9700000000000002E-2</v>
          </cell>
        </row>
        <row r="38">
          <cell r="D38">
            <v>4.6718535319044596</v>
          </cell>
          <cell r="E38">
            <v>4.9195027372331941</v>
          </cell>
          <cell r="F38">
            <v>5.0016850709517851</v>
          </cell>
          <cell r="G38">
            <v>6.461415875407897</v>
          </cell>
          <cell r="H38">
            <v>7.3484312408807293</v>
          </cell>
          <cell r="I38">
            <v>7.6996624976978891</v>
          </cell>
          <cell r="J38">
            <v>7.1740277302483619</v>
          </cell>
          <cell r="K38">
            <v>7.825776017434114</v>
          </cell>
          <cell r="L38">
            <v>8.3542749277177855</v>
          </cell>
          <cell r="M38">
            <v>8.8409217891662859</v>
          </cell>
          <cell r="N38">
            <v>7.581073187846985</v>
          </cell>
          <cell r="O38">
            <v>9.1224633935105217</v>
          </cell>
        </row>
        <row r="39">
          <cell r="D39">
            <v>1.1355933580323998</v>
          </cell>
          <cell r="E39">
            <v>2.1503789088504002</v>
          </cell>
        </row>
        <row r="41">
          <cell r="D41">
            <v>5.000064000000001</v>
          </cell>
          <cell r="E41">
            <v>4.5000575999999999</v>
          </cell>
          <cell r="F41">
            <v>4.2500543999999998</v>
          </cell>
          <cell r="G41">
            <v>6.7500864000000007</v>
          </cell>
          <cell r="H41">
            <v>7.5000959999999992</v>
          </cell>
          <cell r="I41">
            <v>9.7501248</v>
          </cell>
          <cell r="J41">
            <v>10.2501312</v>
          </cell>
          <cell r="K41">
            <v>9.2501183999999981</v>
          </cell>
          <cell r="L41">
            <v>10.7501376</v>
          </cell>
          <cell r="M41">
            <v>10.000128000000002</v>
          </cell>
          <cell r="N41">
            <v>12.000153599999999</v>
          </cell>
          <cell r="O41">
            <v>10.000128000000002</v>
          </cell>
        </row>
        <row r="42">
          <cell r="D42">
            <v>2</v>
          </cell>
          <cell r="E42">
            <v>1.1799999999999997</v>
          </cell>
        </row>
        <row r="44">
          <cell r="D44">
            <v>2.6595670676076399</v>
          </cell>
          <cell r="E44">
            <v>3.1755808953989049</v>
          </cell>
          <cell r="F44">
            <v>3.403366458190245</v>
          </cell>
          <cell r="G44">
            <v>3.9354441236304747</v>
          </cell>
          <cell r="H44">
            <v>4.4958706683018015</v>
          </cell>
          <cell r="I44">
            <v>4.6022073604688725</v>
          </cell>
          <cell r="J44">
            <v>5.1939084723975872</v>
          </cell>
          <cell r="K44">
            <v>5.501880819962083</v>
          </cell>
          <cell r="L44">
            <v>5.6187624853097615</v>
          </cell>
          <cell r="M44">
            <v>6.5595317748619797</v>
          </cell>
          <cell r="N44">
            <v>7.1260037920782118</v>
          </cell>
          <cell r="O44">
            <v>7.7286440817924191</v>
          </cell>
        </row>
        <row r="45">
          <cell r="D45">
            <v>1.2799999999999976</v>
          </cell>
          <cell r="E45">
            <v>1.3300000000000018</v>
          </cell>
        </row>
        <row r="47">
          <cell r="D47">
            <v>3.851715993977133</v>
          </cell>
          <cell r="E47">
            <v>2.9214944875374615</v>
          </cell>
          <cell r="F47">
            <v>2.8839921728742728</v>
          </cell>
          <cell r="G47">
            <v>3.5083818473945545</v>
          </cell>
          <cell r="H47">
            <v>5.3628329632092369</v>
          </cell>
          <cell r="I47">
            <v>5.1087723446552147</v>
          </cell>
          <cell r="J47">
            <v>6.7418686357389728</v>
          </cell>
          <cell r="K47">
            <v>5.025409734862289</v>
          </cell>
          <cell r="L47">
            <v>5.1453710213917976</v>
          </cell>
          <cell r="M47">
            <v>5.801537877079646</v>
          </cell>
          <cell r="N47">
            <v>5.8003366017350793</v>
          </cell>
          <cell r="O47">
            <v>7.8490543195443472</v>
          </cell>
        </row>
        <row r="48">
          <cell r="D48">
            <v>1.3259925238488002</v>
          </cell>
          <cell r="E48">
            <v>1.3454924141262001</v>
          </cell>
        </row>
        <row r="50">
          <cell r="D50">
            <v>0.45310295361019598</v>
          </cell>
          <cell r="E50">
            <v>0.53897109380569197</v>
          </cell>
          <cell r="F50">
            <v>0.74473059955716359</v>
          </cell>
          <cell r="G50">
            <v>0.59729662299508568</v>
          </cell>
          <cell r="H50">
            <v>0.70317237417353917</v>
          </cell>
          <cell r="I50">
            <v>0.74886070537189753</v>
          </cell>
          <cell r="J50">
            <v>0.46673796047801624</v>
          </cell>
          <cell r="K50">
            <v>0.58943759225422176</v>
          </cell>
          <cell r="L50">
            <v>0.30213035587683901</v>
          </cell>
          <cell r="M50">
            <v>0.31545161871639177</v>
          </cell>
          <cell r="N50">
            <v>0.30285042413843638</v>
          </cell>
          <cell r="O50">
            <v>0.23733449902251977</v>
          </cell>
        </row>
        <row r="51">
          <cell r="E51">
            <v>7.9600975667200008E-2</v>
          </cell>
        </row>
        <row r="53">
          <cell r="D53">
            <v>3.3000422399999998</v>
          </cell>
          <cell r="E53">
            <v>3.9000499200000003</v>
          </cell>
          <cell r="F53">
            <v>3.6000460799999994</v>
          </cell>
          <cell r="G53">
            <v>5.1000652800000008</v>
          </cell>
          <cell r="H53">
            <v>4.6500595200000001</v>
          </cell>
          <cell r="I53">
            <v>4.9500633599999997</v>
          </cell>
          <cell r="J53">
            <v>5.4000691199999995</v>
          </cell>
          <cell r="K53">
            <v>5.7000729600000009</v>
          </cell>
          <cell r="L53">
            <v>5.1000652800000008</v>
          </cell>
          <cell r="M53">
            <v>5.5500710399999997</v>
          </cell>
          <cell r="N53">
            <v>6.30008064</v>
          </cell>
          <cell r="O53">
            <v>6.4500825600000002</v>
          </cell>
        </row>
        <row r="54">
          <cell r="D54">
            <v>2.6800000000000006</v>
          </cell>
          <cell r="E54">
            <v>1.5712999999999997</v>
          </cell>
        </row>
        <row r="56">
          <cell r="D56">
            <v>1.10001408</v>
          </cell>
          <cell r="E56">
            <v>1.250016</v>
          </cell>
          <cell r="F56">
            <v>1.1500147200000002</v>
          </cell>
          <cell r="G56">
            <v>1.70002176</v>
          </cell>
          <cell r="H56">
            <v>1.8000230399999997</v>
          </cell>
          <cell r="I56">
            <v>2.0500262399999998</v>
          </cell>
          <cell r="J56">
            <v>1.8000230399999997</v>
          </cell>
          <cell r="K56">
            <v>1.9000243199999998</v>
          </cell>
          <cell r="L56">
            <v>1.8500236800000001</v>
          </cell>
          <cell r="M56">
            <v>1.8000230399999997</v>
          </cell>
          <cell r="N56">
            <v>2.20002816</v>
          </cell>
          <cell r="O56">
            <v>1.40001792</v>
          </cell>
        </row>
        <row r="57">
          <cell r="D57">
            <v>0.79</v>
          </cell>
          <cell r="E57">
            <v>0.97999999999999865</v>
          </cell>
        </row>
      </sheetData>
      <sheetData sheetId="2">
        <row r="1">
          <cell r="B1" t="str">
            <v>project</v>
          </cell>
          <cell r="K1" t="str">
            <v>Area1</v>
          </cell>
          <cell r="L1" t="str">
            <v>Agg_Value</v>
          </cell>
        </row>
        <row r="2">
          <cell r="B2" t="str">
            <v>NYATI EQUINOX I</v>
          </cell>
          <cell r="K2">
            <v>2878</v>
          </cell>
          <cell r="L2">
            <v>23743500</v>
          </cell>
        </row>
        <row r="3">
          <cell r="B3" t="str">
            <v>NYATI EQUINOX I</v>
          </cell>
          <cell r="K3">
            <v>1719</v>
          </cell>
          <cell r="L3">
            <v>13752000</v>
          </cell>
        </row>
        <row r="4">
          <cell r="B4" t="str">
            <v>NYATI EQUINOX I</v>
          </cell>
          <cell r="K4">
            <v>1152</v>
          </cell>
          <cell r="L4">
            <v>9216000</v>
          </cell>
        </row>
        <row r="5">
          <cell r="B5" t="str">
            <v>NYATI EQUINOX I</v>
          </cell>
          <cell r="K5">
            <v>1152</v>
          </cell>
          <cell r="L5">
            <v>9216000</v>
          </cell>
        </row>
        <row r="6">
          <cell r="B6" t="str">
            <v>NYATI EQUINOX I</v>
          </cell>
          <cell r="K6">
            <v>2878</v>
          </cell>
          <cell r="L6">
            <v>24463000</v>
          </cell>
        </row>
        <row r="7">
          <cell r="B7" t="str">
            <v>NYATI EQUINOX I</v>
          </cell>
          <cell r="K7">
            <v>1152</v>
          </cell>
          <cell r="L7">
            <v>9112320</v>
          </cell>
        </row>
        <row r="8">
          <cell r="B8" t="str">
            <v>NYATI EQUINOX I</v>
          </cell>
          <cell r="K8">
            <v>1719</v>
          </cell>
          <cell r="L8">
            <v>13888470</v>
          </cell>
        </row>
        <row r="9">
          <cell r="B9" t="str">
            <v>NYATI EQUINOX I</v>
          </cell>
          <cell r="K9">
            <v>494</v>
          </cell>
          <cell r="L9">
            <v>6115500</v>
          </cell>
        </row>
        <row r="10">
          <cell r="B10" t="str">
            <v>NYATI EQUINOX I</v>
          </cell>
          <cell r="K10">
            <v>1152</v>
          </cell>
          <cell r="L10">
            <v>9100800</v>
          </cell>
        </row>
        <row r="11">
          <cell r="B11" t="str">
            <v>NYATI EQUINOX I</v>
          </cell>
          <cell r="K11">
            <v>1719</v>
          </cell>
          <cell r="L11">
            <v>14224065</v>
          </cell>
        </row>
        <row r="12">
          <cell r="B12" t="str">
            <v>NYATI EQUINOX I</v>
          </cell>
          <cell r="K12">
            <v>1698</v>
          </cell>
          <cell r="L12">
            <v>13329300</v>
          </cell>
        </row>
        <row r="13">
          <cell r="B13" t="str">
            <v>NYATI EQUINOX I</v>
          </cell>
          <cell r="K13">
            <v>1719</v>
          </cell>
          <cell r="L13">
            <v>13752000</v>
          </cell>
        </row>
        <row r="14">
          <cell r="B14" t="str">
            <v>NYATI EQUINOX II</v>
          </cell>
          <cell r="K14">
            <v>733</v>
          </cell>
          <cell r="L14">
            <v>2366000</v>
          </cell>
        </row>
        <row r="15">
          <cell r="B15" t="str">
            <v>NYATI EQUINOX II</v>
          </cell>
          <cell r="K15">
            <v>730</v>
          </cell>
          <cell r="L15">
            <v>2409800</v>
          </cell>
        </row>
        <row r="16">
          <cell r="B16" t="str">
            <v>NYATI EQUINOX II</v>
          </cell>
          <cell r="K16">
            <v>733</v>
          </cell>
          <cell r="L16">
            <v>5049637</v>
          </cell>
        </row>
        <row r="17">
          <cell r="B17" t="str">
            <v>NYATI EQUINOX II</v>
          </cell>
          <cell r="K17">
            <v>730</v>
          </cell>
          <cell r="L17">
            <v>4745000</v>
          </cell>
        </row>
        <row r="18">
          <cell r="B18" t="str">
            <v>NYATI EQUINOX II</v>
          </cell>
          <cell r="K18">
            <v>1230</v>
          </cell>
          <cell r="L18">
            <v>8364000</v>
          </cell>
        </row>
        <row r="19">
          <cell r="B19" t="str">
            <v>NYATI EQUINOX II</v>
          </cell>
          <cell r="K19">
            <v>733</v>
          </cell>
          <cell r="L19">
            <v>2366000</v>
          </cell>
        </row>
        <row r="20">
          <cell r="B20" t="str">
            <v>NYATI EQUINOX II</v>
          </cell>
          <cell r="K20">
            <v>1230</v>
          </cell>
          <cell r="L20">
            <v>8487000</v>
          </cell>
        </row>
        <row r="21">
          <cell r="B21" t="str">
            <v>NYATI ELENOR</v>
          </cell>
          <cell r="K21">
            <v>2580</v>
          </cell>
          <cell r="L21">
            <v>25800000</v>
          </cell>
        </row>
        <row r="22">
          <cell r="B22" t="str">
            <v>NYATI ELENOR</v>
          </cell>
          <cell r="K22">
            <v>3255</v>
          </cell>
          <cell r="L22">
            <v>44600000</v>
          </cell>
        </row>
        <row r="23">
          <cell r="B23" t="str">
            <v>NYATI ELENOR</v>
          </cell>
          <cell r="K23">
            <v>3255</v>
          </cell>
          <cell r="L23">
            <v>32600000</v>
          </cell>
        </row>
        <row r="24">
          <cell r="B24" t="str">
            <v>NYATI ELENOR</v>
          </cell>
          <cell r="K24">
            <v>3860</v>
          </cell>
          <cell r="L24">
            <v>38683800</v>
          </cell>
        </row>
        <row r="25">
          <cell r="B25" t="str">
            <v>NYATI ELENOR</v>
          </cell>
          <cell r="K25">
            <v>3860</v>
          </cell>
          <cell r="L25">
            <v>40400000</v>
          </cell>
        </row>
        <row r="26">
          <cell r="B26" t="str">
            <v>NYATI ELENOR</v>
          </cell>
          <cell r="K26">
            <v>3860</v>
          </cell>
          <cell r="L26">
            <v>41000000</v>
          </cell>
        </row>
        <row r="27">
          <cell r="B27" t="str">
            <v>NYATI ELENOR</v>
          </cell>
          <cell r="K27">
            <v>3860</v>
          </cell>
          <cell r="L27">
            <v>41000000</v>
          </cell>
        </row>
        <row r="28">
          <cell r="B28" t="str">
            <v>NYATI EMERALD I</v>
          </cell>
          <cell r="K28">
            <v>1698</v>
          </cell>
          <cell r="L28">
            <v>14016990</v>
          </cell>
        </row>
        <row r="29">
          <cell r="B29" t="str">
            <v>NYATI EMERALD II</v>
          </cell>
          <cell r="K29">
            <v>664</v>
          </cell>
          <cell r="L29">
            <v>2217900</v>
          </cell>
        </row>
        <row r="30">
          <cell r="B30" t="str">
            <v>NYATI EMERALD II</v>
          </cell>
          <cell r="K30">
            <v>664</v>
          </cell>
          <cell r="L30">
            <v>2217900</v>
          </cell>
        </row>
        <row r="31">
          <cell r="B31" t="str">
            <v>NYATI EMERALD III</v>
          </cell>
          <cell r="K31">
            <v>1173</v>
          </cell>
          <cell r="L31">
            <v>10230357</v>
          </cell>
        </row>
        <row r="32">
          <cell r="B32" t="str">
            <v>NYATI EMERALD III</v>
          </cell>
          <cell r="K32">
            <v>1698</v>
          </cell>
          <cell r="L32">
            <v>14283036</v>
          </cell>
        </row>
        <row r="33">
          <cell r="B33" t="str">
            <v>NYATI EMERALD III</v>
          </cell>
          <cell r="K33">
            <v>1698</v>
          </cell>
          <cell r="L33">
            <v>14238223</v>
          </cell>
        </row>
        <row r="34">
          <cell r="B34" t="str">
            <v>NYATI EMERALD III</v>
          </cell>
          <cell r="K34">
            <v>1698</v>
          </cell>
          <cell r="L34">
            <v>14015179</v>
          </cell>
        </row>
        <row r="35">
          <cell r="B35" t="str">
            <v>NYATI EMERALD III</v>
          </cell>
          <cell r="K35">
            <v>1173</v>
          </cell>
          <cell r="L35">
            <v>9694643</v>
          </cell>
        </row>
        <row r="36">
          <cell r="B36" t="str">
            <v>NYATI EMERALD III</v>
          </cell>
          <cell r="K36">
            <v>1173</v>
          </cell>
          <cell r="L36">
            <v>9694643</v>
          </cell>
        </row>
        <row r="37">
          <cell r="B37" t="str">
            <v>NYATI EVOQUE</v>
          </cell>
          <cell r="K37">
            <v>2175</v>
          </cell>
          <cell r="L37">
            <v>28314150</v>
          </cell>
        </row>
        <row r="38">
          <cell r="B38" t="str">
            <v>NYATI EVOQUE</v>
          </cell>
          <cell r="K38">
            <v>2126</v>
          </cell>
          <cell r="L38">
            <v>26583000</v>
          </cell>
        </row>
        <row r="39">
          <cell r="B39" t="str">
            <v>NYATI EXUBERANCE III</v>
          </cell>
          <cell r="K39">
            <v>457</v>
          </cell>
          <cell r="L39">
            <v>1513200</v>
          </cell>
        </row>
        <row r="40">
          <cell r="B40" t="str">
            <v>NYATI EXUBERANCE III</v>
          </cell>
          <cell r="K40">
            <v>457</v>
          </cell>
          <cell r="L40">
            <v>1513200</v>
          </cell>
        </row>
        <row r="41">
          <cell r="B41" t="str">
            <v>NYATI EXUBERANCE III</v>
          </cell>
          <cell r="K41">
            <v>473</v>
          </cell>
          <cell r="L41">
            <v>1892000</v>
          </cell>
        </row>
        <row r="42">
          <cell r="B42" t="str">
            <v>NYATI EXUBERANCE IV</v>
          </cell>
          <cell r="K42">
            <v>981</v>
          </cell>
          <cell r="L42">
            <v>5910525</v>
          </cell>
        </row>
        <row r="43">
          <cell r="B43" t="str">
            <v>NYATI EXUBERANCE IV</v>
          </cell>
          <cell r="K43">
            <v>981</v>
          </cell>
          <cell r="L43">
            <v>5788881</v>
          </cell>
        </row>
        <row r="44">
          <cell r="B44" t="str">
            <v>NYATI EXUBERANCE IV</v>
          </cell>
          <cell r="K44">
            <v>981</v>
          </cell>
          <cell r="L44">
            <v>5886000</v>
          </cell>
        </row>
        <row r="45">
          <cell r="B45" t="str">
            <v>NYATI EXUBERANCE IV</v>
          </cell>
          <cell r="K45">
            <v>985</v>
          </cell>
          <cell r="L45">
            <v>5446065</v>
          </cell>
        </row>
        <row r="46">
          <cell r="B46" t="str">
            <v>NYATI EXUBERANCE IV</v>
          </cell>
          <cell r="K46">
            <v>985</v>
          </cell>
          <cell r="L46">
            <v>5446065</v>
          </cell>
        </row>
        <row r="47">
          <cell r="B47" t="str">
            <v>NYATI EXUBERANCE IV</v>
          </cell>
          <cell r="K47">
            <v>985</v>
          </cell>
          <cell r="L47">
            <v>5910000</v>
          </cell>
        </row>
        <row r="48">
          <cell r="B48" t="str">
            <v>NYATI EXUBERANCE IV</v>
          </cell>
          <cell r="K48">
            <v>981</v>
          </cell>
          <cell r="L48">
            <v>5423949</v>
          </cell>
        </row>
        <row r="49">
          <cell r="B49" t="str">
            <v>NYATI EXUBERANCE IV</v>
          </cell>
          <cell r="K49">
            <v>981</v>
          </cell>
          <cell r="L49">
            <v>5494581</v>
          </cell>
        </row>
        <row r="50">
          <cell r="B50" t="str">
            <v>NYATI EXUBERANCE IV</v>
          </cell>
          <cell r="K50">
            <v>981</v>
          </cell>
          <cell r="L50">
            <v>5542650</v>
          </cell>
        </row>
        <row r="51">
          <cell r="B51" t="str">
            <v>NYATI EMBLEM</v>
          </cell>
          <cell r="K51">
            <v>3642</v>
          </cell>
          <cell r="L51">
            <v>45700000</v>
          </cell>
        </row>
        <row r="52">
          <cell r="B52" t="str">
            <v>NYATI ERA II</v>
          </cell>
          <cell r="K52">
            <v>574</v>
          </cell>
          <cell r="L52">
            <v>1805600</v>
          </cell>
        </row>
        <row r="53">
          <cell r="B53" t="str">
            <v>NYATI ERA II</v>
          </cell>
          <cell r="K53">
            <v>574</v>
          </cell>
          <cell r="L53">
            <v>1805600</v>
          </cell>
        </row>
        <row r="54">
          <cell r="B54" t="str">
            <v>NYATI ERA II</v>
          </cell>
          <cell r="K54">
            <v>574</v>
          </cell>
          <cell r="L54">
            <v>1805600</v>
          </cell>
        </row>
        <row r="55">
          <cell r="B55" t="str">
            <v>NYATI ERA II</v>
          </cell>
          <cell r="K55">
            <v>574</v>
          </cell>
          <cell r="L55">
            <v>1805600</v>
          </cell>
        </row>
        <row r="56">
          <cell r="B56" t="str">
            <v>NYATI ERA II</v>
          </cell>
          <cell r="K56">
            <v>574</v>
          </cell>
          <cell r="L56">
            <v>1805600</v>
          </cell>
        </row>
        <row r="57">
          <cell r="B57" t="str">
            <v>NYATI ERA II</v>
          </cell>
          <cell r="K57">
            <v>574</v>
          </cell>
          <cell r="L57">
            <v>1805600</v>
          </cell>
        </row>
        <row r="58">
          <cell r="B58" t="str">
            <v>NYATI ERA II</v>
          </cell>
          <cell r="K58">
            <v>574</v>
          </cell>
          <cell r="L58">
            <v>1805600</v>
          </cell>
        </row>
        <row r="59">
          <cell r="B59" t="str">
            <v>NYATI ERA II</v>
          </cell>
          <cell r="K59">
            <v>574</v>
          </cell>
          <cell r="L59">
            <v>1805600</v>
          </cell>
        </row>
        <row r="60">
          <cell r="B60" t="str">
            <v>NYATI ERA II</v>
          </cell>
          <cell r="K60">
            <v>574</v>
          </cell>
          <cell r="L60">
            <v>1805600</v>
          </cell>
        </row>
        <row r="61">
          <cell r="B61" t="str">
            <v>NYATI ERA II</v>
          </cell>
          <cell r="K61">
            <v>574</v>
          </cell>
          <cell r="L61">
            <v>1805600</v>
          </cell>
        </row>
        <row r="62">
          <cell r="B62" t="str">
            <v>NYATI ERA II</v>
          </cell>
          <cell r="K62">
            <v>574</v>
          </cell>
          <cell r="L62">
            <v>1805600</v>
          </cell>
        </row>
        <row r="63">
          <cell r="B63" t="str">
            <v>NYATI ERA II</v>
          </cell>
          <cell r="K63">
            <v>574</v>
          </cell>
          <cell r="L63">
            <v>1805600</v>
          </cell>
        </row>
        <row r="64">
          <cell r="B64" t="str">
            <v>NYATI ERA II</v>
          </cell>
          <cell r="K64">
            <v>574</v>
          </cell>
          <cell r="L64">
            <v>1805600</v>
          </cell>
        </row>
        <row r="65">
          <cell r="B65" t="str">
            <v>NYATI ERA II</v>
          </cell>
          <cell r="K65">
            <v>574</v>
          </cell>
          <cell r="L65">
            <v>1805600</v>
          </cell>
        </row>
        <row r="66">
          <cell r="B66" t="str">
            <v>NYATI ERA II</v>
          </cell>
          <cell r="K66">
            <v>574</v>
          </cell>
          <cell r="L66">
            <v>1805600</v>
          </cell>
        </row>
        <row r="67">
          <cell r="B67" t="str">
            <v>NYATI ERA II</v>
          </cell>
          <cell r="K67">
            <v>574</v>
          </cell>
          <cell r="L67">
            <v>1805600</v>
          </cell>
        </row>
        <row r="68">
          <cell r="B68" t="str">
            <v>NYATI ERA II</v>
          </cell>
          <cell r="K68">
            <v>574</v>
          </cell>
          <cell r="L68">
            <v>1805600</v>
          </cell>
        </row>
        <row r="69">
          <cell r="B69" t="str">
            <v>NYATI ERA II</v>
          </cell>
          <cell r="K69">
            <v>574</v>
          </cell>
          <cell r="L69">
            <v>1805600</v>
          </cell>
        </row>
        <row r="70">
          <cell r="B70" t="str">
            <v>NYATI ERA II</v>
          </cell>
          <cell r="K70">
            <v>574</v>
          </cell>
          <cell r="L70">
            <v>1805600</v>
          </cell>
        </row>
        <row r="71">
          <cell r="B71" t="str">
            <v>NYATI ERA II</v>
          </cell>
          <cell r="K71">
            <v>574</v>
          </cell>
          <cell r="L71">
            <v>1805600</v>
          </cell>
        </row>
        <row r="72">
          <cell r="B72" t="str">
            <v>NYATI ERA II</v>
          </cell>
          <cell r="K72">
            <v>574</v>
          </cell>
          <cell r="L72">
            <v>1805600</v>
          </cell>
        </row>
        <row r="73">
          <cell r="B73" t="str">
            <v>NYATI ERA II</v>
          </cell>
          <cell r="K73">
            <v>574</v>
          </cell>
          <cell r="L73">
            <v>1805600</v>
          </cell>
        </row>
        <row r="74">
          <cell r="B74" t="str">
            <v>NYATI ERA II</v>
          </cell>
          <cell r="K74">
            <v>574</v>
          </cell>
          <cell r="L74">
            <v>1805600</v>
          </cell>
        </row>
        <row r="75">
          <cell r="B75" t="str">
            <v>NYATI ERA II</v>
          </cell>
          <cell r="K75">
            <v>574</v>
          </cell>
          <cell r="L75">
            <v>1805600</v>
          </cell>
        </row>
        <row r="76">
          <cell r="B76" t="str">
            <v>NYATI ERA II</v>
          </cell>
          <cell r="K76">
            <v>574</v>
          </cell>
          <cell r="L76">
            <v>1805600</v>
          </cell>
        </row>
        <row r="77">
          <cell r="B77" t="str">
            <v>NYATI ERA II</v>
          </cell>
          <cell r="K77">
            <v>574</v>
          </cell>
          <cell r="L77">
            <v>1805600</v>
          </cell>
        </row>
        <row r="78">
          <cell r="B78" t="str">
            <v>NYATI ERA II</v>
          </cell>
          <cell r="K78">
            <v>574</v>
          </cell>
          <cell r="L78">
            <v>1805600</v>
          </cell>
        </row>
        <row r="79">
          <cell r="B79" t="str">
            <v>NYATI ERA II</v>
          </cell>
          <cell r="K79">
            <v>574</v>
          </cell>
          <cell r="L79">
            <v>1805600</v>
          </cell>
        </row>
        <row r="80">
          <cell r="B80" t="str">
            <v>NYATI ERA II</v>
          </cell>
          <cell r="K80">
            <v>574</v>
          </cell>
          <cell r="L80">
            <v>1805600</v>
          </cell>
        </row>
        <row r="81">
          <cell r="B81" t="str">
            <v>NYATI ERA II</v>
          </cell>
          <cell r="K81">
            <v>574</v>
          </cell>
          <cell r="L81">
            <v>1805600</v>
          </cell>
        </row>
        <row r="82">
          <cell r="B82" t="str">
            <v>NYATI ERA II</v>
          </cell>
          <cell r="K82">
            <v>574</v>
          </cell>
          <cell r="L82">
            <v>1805600</v>
          </cell>
        </row>
        <row r="83">
          <cell r="B83" t="str">
            <v>NYATI ERA II</v>
          </cell>
          <cell r="K83">
            <v>574</v>
          </cell>
          <cell r="L83">
            <v>1805600</v>
          </cell>
        </row>
        <row r="84">
          <cell r="B84" t="str">
            <v>NYATI ERA II</v>
          </cell>
          <cell r="K84">
            <v>574</v>
          </cell>
          <cell r="L84">
            <v>1805600</v>
          </cell>
        </row>
        <row r="85">
          <cell r="B85" t="str">
            <v>NYATI ERA II</v>
          </cell>
          <cell r="K85">
            <v>574</v>
          </cell>
          <cell r="L85">
            <v>1805600</v>
          </cell>
        </row>
        <row r="86">
          <cell r="B86" t="str">
            <v>NYATI ERA II</v>
          </cell>
          <cell r="K86">
            <v>574</v>
          </cell>
          <cell r="L86">
            <v>1805600</v>
          </cell>
        </row>
        <row r="87">
          <cell r="B87" t="str">
            <v>NYATI ERA II</v>
          </cell>
          <cell r="K87">
            <v>574</v>
          </cell>
          <cell r="L87">
            <v>1805600</v>
          </cell>
        </row>
        <row r="88">
          <cell r="B88" t="str">
            <v>NYATI ERA II</v>
          </cell>
          <cell r="K88">
            <v>574</v>
          </cell>
          <cell r="L88">
            <v>1805600</v>
          </cell>
        </row>
        <row r="89">
          <cell r="B89" t="str">
            <v>NYATI ERA II</v>
          </cell>
          <cell r="K89">
            <v>574</v>
          </cell>
          <cell r="L89">
            <v>1805600</v>
          </cell>
        </row>
        <row r="90">
          <cell r="B90" t="str">
            <v>NYATI ERA II</v>
          </cell>
          <cell r="K90">
            <v>574</v>
          </cell>
          <cell r="L90">
            <v>1805600</v>
          </cell>
        </row>
        <row r="91">
          <cell r="B91" t="str">
            <v>NYATI ERA II</v>
          </cell>
          <cell r="K91">
            <v>574</v>
          </cell>
          <cell r="L91">
            <v>1805600</v>
          </cell>
        </row>
        <row r="92">
          <cell r="B92" t="str">
            <v>NYATI ERA II</v>
          </cell>
          <cell r="K92">
            <v>574</v>
          </cell>
          <cell r="L92">
            <v>1805600</v>
          </cell>
        </row>
        <row r="93">
          <cell r="B93" t="str">
            <v>NYATI ERA II</v>
          </cell>
          <cell r="K93">
            <v>574</v>
          </cell>
          <cell r="L93">
            <v>1805600</v>
          </cell>
        </row>
        <row r="94">
          <cell r="B94" t="str">
            <v>NYATI ERA II</v>
          </cell>
          <cell r="K94">
            <v>574</v>
          </cell>
          <cell r="L94">
            <v>1805600</v>
          </cell>
        </row>
        <row r="95">
          <cell r="B95" t="str">
            <v>NYATI ERA II</v>
          </cell>
          <cell r="K95">
            <v>574</v>
          </cell>
          <cell r="L95">
            <v>1805600</v>
          </cell>
        </row>
        <row r="96">
          <cell r="B96" t="str">
            <v>NYATI ERA II</v>
          </cell>
          <cell r="K96">
            <v>574</v>
          </cell>
          <cell r="L96">
            <v>1805600</v>
          </cell>
        </row>
        <row r="97">
          <cell r="B97" t="str">
            <v>NYATI ERA IV</v>
          </cell>
          <cell r="K97">
            <v>1376</v>
          </cell>
          <cell r="L97">
            <v>9563200</v>
          </cell>
        </row>
        <row r="98">
          <cell r="B98" t="str">
            <v>NYATI ERA IV</v>
          </cell>
          <cell r="K98">
            <v>1625</v>
          </cell>
          <cell r="L98">
            <v>11382000</v>
          </cell>
        </row>
        <row r="99">
          <cell r="B99" t="str">
            <v>NYATI ERA IV</v>
          </cell>
          <cell r="K99">
            <v>844</v>
          </cell>
          <cell r="L99">
            <v>5072973</v>
          </cell>
        </row>
        <row r="100">
          <cell r="B100" t="str">
            <v>NYATI EVANIA</v>
          </cell>
          <cell r="K100">
            <v>1287</v>
          </cell>
          <cell r="L100">
            <v>15129464</v>
          </cell>
        </row>
        <row r="101">
          <cell r="B101" t="str">
            <v>NYATI ESTEBAN II</v>
          </cell>
          <cell r="K101">
            <v>1172</v>
          </cell>
          <cell r="L101">
            <v>6899107</v>
          </cell>
        </row>
        <row r="102">
          <cell r="B102" t="str">
            <v>NYATI ESTEBAN II</v>
          </cell>
          <cell r="K102">
            <v>1172</v>
          </cell>
          <cell r="L102">
            <v>6921873</v>
          </cell>
        </row>
        <row r="103">
          <cell r="B103" t="str">
            <v>NYATI ESTEBAN II</v>
          </cell>
          <cell r="K103">
            <v>1699</v>
          </cell>
          <cell r="L103">
            <v>9991819</v>
          </cell>
        </row>
        <row r="104">
          <cell r="B104" t="str">
            <v>NYATI ESTEBAN II</v>
          </cell>
          <cell r="K104">
            <v>1699</v>
          </cell>
          <cell r="L104">
            <v>10201802</v>
          </cell>
        </row>
        <row r="105">
          <cell r="B105" t="str">
            <v>NYATI ESTEBAN II</v>
          </cell>
          <cell r="K105">
            <v>1699</v>
          </cell>
          <cell r="L105">
            <v>10109050</v>
          </cell>
        </row>
        <row r="106">
          <cell r="B106" t="str">
            <v>NYATI ESTEBAN II</v>
          </cell>
          <cell r="K106">
            <v>1699</v>
          </cell>
          <cell r="L106">
            <v>10109050</v>
          </cell>
        </row>
        <row r="107">
          <cell r="B107" t="str">
            <v>NYATI ESTEBAN II</v>
          </cell>
          <cell r="K107">
            <v>1699</v>
          </cell>
          <cell r="L107">
            <v>10114997</v>
          </cell>
        </row>
        <row r="108">
          <cell r="B108" t="str">
            <v>NYATI ESTEBAN II</v>
          </cell>
          <cell r="K108">
            <v>1699</v>
          </cell>
          <cell r="L108">
            <v>10092060</v>
          </cell>
        </row>
        <row r="109">
          <cell r="B109" t="str">
            <v>NYATI ESTEBAN II</v>
          </cell>
          <cell r="K109">
            <v>1699</v>
          </cell>
          <cell r="L109">
            <v>10136234</v>
          </cell>
        </row>
        <row r="110">
          <cell r="B110" t="str">
            <v>NYATI EMPRESS</v>
          </cell>
          <cell r="K110">
            <v>400</v>
          </cell>
          <cell r="L110">
            <v>6500000</v>
          </cell>
        </row>
      </sheetData>
      <sheetData sheetId="3">
        <row r="1">
          <cell r="A1" t="str">
            <v>ProjectName</v>
          </cell>
          <cell r="F1" t="str">
            <v>TotalArea</v>
          </cell>
          <cell r="G1" t="str">
            <v>Agg_Value</v>
          </cell>
        </row>
        <row r="2">
          <cell r="A2" t="str">
            <v>NYATI ELENOR</v>
          </cell>
          <cell r="F2">
            <v>3860</v>
          </cell>
          <cell r="G2">
            <v>51400000</v>
          </cell>
        </row>
        <row r="3">
          <cell r="A3" t="str">
            <v>NYATI EMERALD I</v>
          </cell>
          <cell r="F3">
            <v>1173</v>
          </cell>
          <cell r="G3">
            <v>9618600</v>
          </cell>
        </row>
        <row r="4">
          <cell r="A4" t="str">
            <v>NYATI EMERALD I</v>
          </cell>
          <cell r="F4">
            <v>1173</v>
          </cell>
          <cell r="G4">
            <v>9998214</v>
          </cell>
        </row>
        <row r="5">
          <cell r="A5" t="str">
            <v>NYATI EMERALD III</v>
          </cell>
          <cell r="F5">
            <v>1173</v>
          </cell>
          <cell r="G5">
            <v>9238393</v>
          </cell>
        </row>
        <row r="6">
          <cell r="A6" t="str">
            <v>NYATI EMERALD III</v>
          </cell>
          <cell r="F6">
            <v>1698</v>
          </cell>
          <cell r="G6">
            <v>14550893</v>
          </cell>
        </row>
        <row r="7">
          <cell r="A7" t="str">
            <v>NYATI EMERALD III</v>
          </cell>
          <cell r="F7">
            <v>1173</v>
          </cell>
          <cell r="G7">
            <v>9962500</v>
          </cell>
        </row>
        <row r="8">
          <cell r="A8" t="str">
            <v>NYATI EMERALD III</v>
          </cell>
          <cell r="F8">
            <v>1173</v>
          </cell>
          <cell r="G8">
            <v>9238393</v>
          </cell>
        </row>
        <row r="9">
          <cell r="A9" t="str">
            <v>NYATI EMERALD III</v>
          </cell>
          <cell r="F9">
            <v>1173</v>
          </cell>
          <cell r="G9">
            <v>9595536</v>
          </cell>
        </row>
        <row r="10">
          <cell r="A10" t="str">
            <v>NYATI EQUINOX I</v>
          </cell>
          <cell r="F10">
            <v>1152</v>
          </cell>
          <cell r="G10">
            <v>9100800</v>
          </cell>
        </row>
        <row r="11">
          <cell r="A11" t="str">
            <v>NYATI EQUINOX I</v>
          </cell>
          <cell r="F11">
            <v>1719</v>
          </cell>
          <cell r="G11">
            <v>13681950</v>
          </cell>
        </row>
        <row r="12">
          <cell r="A12" t="str">
            <v>NYATI EQUINOX I</v>
          </cell>
          <cell r="F12">
            <v>1152</v>
          </cell>
          <cell r="G12">
            <v>8891136</v>
          </cell>
        </row>
        <row r="13">
          <cell r="A13" t="str">
            <v>NYATI EQUINOX I</v>
          </cell>
          <cell r="F13">
            <v>1698</v>
          </cell>
          <cell r="G13">
            <v>13329300</v>
          </cell>
        </row>
        <row r="14">
          <cell r="A14" t="str">
            <v>NYATI EQUINOX I</v>
          </cell>
          <cell r="F14">
            <v>1719</v>
          </cell>
          <cell r="G14">
            <v>13837950</v>
          </cell>
        </row>
        <row r="15">
          <cell r="A15" t="str">
            <v>NYATI EQUINOX II</v>
          </cell>
          <cell r="F15">
            <v>730</v>
          </cell>
          <cell r="G15">
            <v>4781250</v>
          </cell>
        </row>
        <row r="16">
          <cell r="A16" t="str">
            <v>NYATI EQUINOX II</v>
          </cell>
          <cell r="F16">
            <v>1552</v>
          </cell>
          <cell r="G16">
            <v>10780840</v>
          </cell>
        </row>
        <row r="17">
          <cell r="A17" t="str">
            <v>NYATI ERA II</v>
          </cell>
          <cell r="F17">
            <v>574</v>
          </cell>
          <cell r="G17">
            <v>1805600</v>
          </cell>
        </row>
        <row r="18">
          <cell r="A18" t="str">
            <v>NYATI ESTEBAN II</v>
          </cell>
          <cell r="F18">
            <v>1699</v>
          </cell>
          <cell r="G18">
            <v>10226281</v>
          </cell>
        </row>
        <row r="19">
          <cell r="A19" t="str">
            <v>NYATI ESTEBAN II</v>
          </cell>
          <cell r="F19">
            <v>1699</v>
          </cell>
          <cell r="G19">
            <v>9869491</v>
          </cell>
        </row>
        <row r="20">
          <cell r="A20" t="str">
            <v>NYATI ESTEBAN II</v>
          </cell>
          <cell r="F20">
            <v>1172</v>
          </cell>
          <cell r="G20">
            <v>6833898</v>
          </cell>
        </row>
        <row r="21">
          <cell r="A21" t="str">
            <v>NYATI ESTEBAN II</v>
          </cell>
          <cell r="F21">
            <v>1172</v>
          </cell>
          <cell r="G21">
            <v>6789324</v>
          </cell>
        </row>
        <row r="22">
          <cell r="A22" t="str">
            <v>NYATI EVANIA</v>
          </cell>
          <cell r="F22">
            <v>1405</v>
          </cell>
          <cell r="G22">
            <v>15595500</v>
          </cell>
        </row>
        <row r="23">
          <cell r="A23" t="str">
            <v>NYATI EVANIA</v>
          </cell>
          <cell r="F23">
            <v>2543</v>
          </cell>
          <cell r="G23">
            <v>26725000</v>
          </cell>
        </row>
        <row r="24">
          <cell r="A24" t="str">
            <v>NYATI EXUBERANCE IV</v>
          </cell>
          <cell r="F24">
            <v>981</v>
          </cell>
          <cell r="G24">
            <v>5519106</v>
          </cell>
        </row>
        <row r="25">
          <cell r="A25" t="str">
            <v>NYATI EXUBERANCE IV</v>
          </cell>
          <cell r="F25">
            <v>981</v>
          </cell>
          <cell r="G25">
            <v>5493600</v>
          </cell>
        </row>
      </sheetData>
      <sheetData sheetId="4">
        <row r="1">
          <cell r="A1" t="str">
            <v>Project_Name</v>
          </cell>
          <cell r="J1" t="str">
            <v>Collection For Period</v>
          </cell>
        </row>
        <row r="2">
          <cell r="A2" t="str">
            <v>NIVAAN MEADOWS</v>
          </cell>
          <cell r="J2">
            <v>0</v>
          </cell>
        </row>
        <row r="3">
          <cell r="A3" t="str">
            <v>NYATI CORPORATE OFFICE</v>
          </cell>
          <cell r="J3">
            <v>0</v>
          </cell>
        </row>
        <row r="4">
          <cell r="A4" t="str">
            <v>NYATI CORPORATE OFFICE</v>
          </cell>
          <cell r="J4">
            <v>0</v>
          </cell>
        </row>
        <row r="5">
          <cell r="A5" t="str">
            <v>NYATI DEFENCE ENCLAVE I</v>
          </cell>
          <cell r="J5">
            <v>0</v>
          </cell>
        </row>
        <row r="6">
          <cell r="A6" t="str">
            <v>NYATI DEFENCE ENCLAVE I</v>
          </cell>
          <cell r="J6">
            <v>0</v>
          </cell>
        </row>
        <row r="7">
          <cell r="A7" t="str">
            <v>NYATI DEFENCE ENCLAVE II</v>
          </cell>
          <cell r="J7">
            <v>0</v>
          </cell>
        </row>
        <row r="8">
          <cell r="A8" t="str">
            <v>NYATI DEFENCE ENCLAVE II</v>
          </cell>
          <cell r="J8">
            <v>0</v>
          </cell>
        </row>
        <row r="9">
          <cell r="A9" t="str">
            <v>NYATI DEFENCE ENCLAVE III</v>
          </cell>
          <cell r="J9">
            <v>35.78</v>
          </cell>
        </row>
        <row r="10">
          <cell r="A10" t="str">
            <v>NYATI DEFENCE ENCLAVE III</v>
          </cell>
          <cell r="J10">
            <v>0</v>
          </cell>
        </row>
        <row r="11">
          <cell r="A11" t="str">
            <v>NYATI DEFENCE ENCLAVE III</v>
          </cell>
          <cell r="J11">
            <v>0</v>
          </cell>
        </row>
        <row r="12">
          <cell r="A12" t="str">
            <v>Nyati Demo Project - 1</v>
          </cell>
          <cell r="J12">
            <v>0</v>
          </cell>
        </row>
        <row r="13">
          <cell r="A13" t="str">
            <v>NYATI ELAN (N - SE)</v>
          </cell>
          <cell r="J13">
            <v>0</v>
          </cell>
        </row>
        <row r="14">
          <cell r="A14" t="str">
            <v>NYATI ELAN (N - SE)</v>
          </cell>
          <cell r="J14">
            <v>0</v>
          </cell>
        </row>
        <row r="15">
          <cell r="A15" t="str">
            <v>NYATI ELAN (N - SE)</v>
          </cell>
          <cell r="J15">
            <v>0</v>
          </cell>
        </row>
        <row r="16">
          <cell r="A16" t="str">
            <v>NYATI ELAN (N - SE)</v>
          </cell>
          <cell r="J16">
            <v>0</v>
          </cell>
        </row>
        <row r="17">
          <cell r="A17" t="str">
            <v>NYATI ELAN (N - SE)</v>
          </cell>
          <cell r="J17">
            <v>0</v>
          </cell>
        </row>
        <row r="18">
          <cell r="A18" t="str">
            <v>NYATI ELAN (N - SE)</v>
          </cell>
          <cell r="J18">
            <v>0</v>
          </cell>
        </row>
        <row r="19">
          <cell r="A19" t="str">
            <v>NYATI ELAN (N - SE)</v>
          </cell>
          <cell r="J19">
            <v>0</v>
          </cell>
        </row>
        <row r="20">
          <cell r="A20" t="str">
            <v>NYATI ELAN (N - SE)</v>
          </cell>
          <cell r="J20">
            <v>0</v>
          </cell>
        </row>
        <row r="21">
          <cell r="A21" t="str">
            <v>NYATI ELAN (N - SE)</v>
          </cell>
          <cell r="J21">
            <v>0</v>
          </cell>
        </row>
        <row r="22">
          <cell r="A22" t="str">
            <v>NYATI ELAN (N - SE)</v>
          </cell>
          <cell r="J22">
            <v>0</v>
          </cell>
        </row>
        <row r="23">
          <cell r="A23" t="str">
            <v>NYATI ELAN (N - SE)</v>
          </cell>
          <cell r="J23">
            <v>0</v>
          </cell>
        </row>
        <row r="24">
          <cell r="A24" t="str">
            <v>NYATI ELAN (WEST)</v>
          </cell>
          <cell r="J24">
            <v>0</v>
          </cell>
        </row>
        <row r="25">
          <cell r="A25" t="str">
            <v>NYATI ELAN (WEST)</v>
          </cell>
          <cell r="J25">
            <v>0</v>
          </cell>
        </row>
        <row r="26">
          <cell r="A26" t="str">
            <v>NYATI ELAN (WEST)</v>
          </cell>
          <cell r="J26">
            <v>0</v>
          </cell>
        </row>
        <row r="27">
          <cell r="A27" t="str">
            <v>NYATI ELAN (WEST)</v>
          </cell>
          <cell r="J27">
            <v>0</v>
          </cell>
        </row>
        <row r="28">
          <cell r="A28" t="str">
            <v>NYATI ELAN CENTRAL I</v>
          </cell>
          <cell r="J28">
            <v>0</v>
          </cell>
        </row>
        <row r="29">
          <cell r="A29" t="str">
            <v>NYATI ELAN CENTRAL I</v>
          </cell>
          <cell r="J29">
            <v>0</v>
          </cell>
        </row>
        <row r="30">
          <cell r="A30" t="str">
            <v>NYATI ELAN CENTRAL II</v>
          </cell>
          <cell r="J30">
            <v>0</v>
          </cell>
        </row>
        <row r="31">
          <cell r="A31" t="str">
            <v>NYATI ELAN CENTRAL II</v>
          </cell>
          <cell r="J31">
            <v>0</v>
          </cell>
        </row>
        <row r="32">
          <cell r="A32" t="str">
            <v>NYATI ELAN CENTRAL II</v>
          </cell>
          <cell r="J32">
            <v>0</v>
          </cell>
        </row>
        <row r="33">
          <cell r="A33" t="str">
            <v>NYATI ELAN CENTRAL II</v>
          </cell>
          <cell r="J33">
            <v>0</v>
          </cell>
        </row>
        <row r="34">
          <cell r="A34" t="str">
            <v>NYATI ELAN CENTRAL II</v>
          </cell>
          <cell r="J34">
            <v>0</v>
          </cell>
        </row>
        <row r="35">
          <cell r="A35" t="str">
            <v>NYATI ELAN CENTRAL II</v>
          </cell>
          <cell r="J35">
            <v>0</v>
          </cell>
        </row>
        <row r="36">
          <cell r="A36" t="str">
            <v>NYATI ELAN CENTRAL III</v>
          </cell>
          <cell r="J36">
            <v>0</v>
          </cell>
        </row>
        <row r="37">
          <cell r="A37" t="str">
            <v>NYATI ELAN CENTRAL III</v>
          </cell>
          <cell r="J37">
            <v>0</v>
          </cell>
        </row>
        <row r="38">
          <cell r="A38" t="str">
            <v>NYATI ELAN COMMERCIAL</v>
          </cell>
          <cell r="J38">
            <v>76.27</v>
          </cell>
        </row>
        <row r="39">
          <cell r="A39" t="str">
            <v>NYATI ELAN COMMERCIAL</v>
          </cell>
          <cell r="J39">
            <v>0</v>
          </cell>
        </row>
        <row r="40">
          <cell r="A40" t="str">
            <v>NYATI ELAN SOUTH EAST I</v>
          </cell>
          <cell r="J40">
            <v>0</v>
          </cell>
        </row>
        <row r="41">
          <cell r="A41" t="str">
            <v>NYATI ELAN SOUTH EAST I</v>
          </cell>
          <cell r="J41">
            <v>0</v>
          </cell>
        </row>
        <row r="42">
          <cell r="A42" t="str">
            <v>NYATI ELAN SOUTH I</v>
          </cell>
          <cell r="J42">
            <v>0</v>
          </cell>
        </row>
        <row r="43">
          <cell r="A43" t="str">
            <v>NYATI ELAN SOUTH I</v>
          </cell>
          <cell r="J43">
            <v>0</v>
          </cell>
        </row>
        <row r="44">
          <cell r="A44" t="str">
            <v>NYATI ELAN SOUTH I</v>
          </cell>
          <cell r="J44">
            <v>0</v>
          </cell>
        </row>
        <row r="45">
          <cell r="A45" t="str">
            <v>NYATI ELAN SOUTH I</v>
          </cell>
          <cell r="J45">
            <v>0</v>
          </cell>
        </row>
        <row r="46">
          <cell r="A46" t="str">
            <v>NYATI ELAN SOUTH II</v>
          </cell>
          <cell r="J46">
            <v>0.09</v>
          </cell>
        </row>
        <row r="47">
          <cell r="A47" t="str">
            <v>NYATI ELAN SOUTH II</v>
          </cell>
          <cell r="J47">
            <v>0</v>
          </cell>
        </row>
        <row r="48">
          <cell r="A48" t="str">
            <v>NYATI ELAN SOUTH II</v>
          </cell>
          <cell r="J48">
            <v>0</v>
          </cell>
        </row>
        <row r="49">
          <cell r="A49" t="str">
            <v>NYATI ELAN SOUTH II</v>
          </cell>
          <cell r="J49">
            <v>0</v>
          </cell>
        </row>
        <row r="50">
          <cell r="A50" t="str">
            <v>NYATI ELAN WEST II</v>
          </cell>
          <cell r="J50">
            <v>0</v>
          </cell>
        </row>
        <row r="51">
          <cell r="A51" t="str">
            <v>NYATI ELAN WEST II</v>
          </cell>
          <cell r="J51">
            <v>0</v>
          </cell>
        </row>
        <row r="52">
          <cell r="A52" t="str">
            <v>NYATI ELAN WEST III</v>
          </cell>
          <cell r="J52">
            <v>0</v>
          </cell>
        </row>
        <row r="53">
          <cell r="A53" t="str">
            <v>NYATI ELAN WEST III</v>
          </cell>
          <cell r="J53">
            <v>0</v>
          </cell>
        </row>
        <row r="54">
          <cell r="A54" t="str">
            <v>NYATI ELAN-III</v>
          </cell>
          <cell r="J54">
            <v>0</v>
          </cell>
        </row>
        <row r="55">
          <cell r="A55" t="str">
            <v>NYATI ELAN-III</v>
          </cell>
          <cell r="J55">
            <v>0</v>
          </cell>
        </row>
        <row r="56">
          <cell r="A56" t="str">
            <v>NYATI ELENOR</v>
          </cell>
          <cell r="J56">
            <v>170.91</v>
          </cell>
        </row>
        <row r="57">
          <cell r="A57" t="str">
            <v>NYATI ELENOR</v>
          </cell>
          <cell r="J57">
            <v>55.07</v>
          </cell>
        </row>
        <row r="58">
          <cell r="A58" t="str">
            <v>NYATI ELENOR</v>
          </cell>
          <cell r="J58">
            <v>269.52</v>
          </cell>
        </row>
        <row r="59">
          <cell r="A59" t="str">
            <v>NYATI ELITE</v>
          </cell>
          <cell r="J59">
            <v>0</v>
          </cell>
        </row>
        <row r="60">
          <cell r="A60" t="str">
            <v>NYATI ELITE</v>
          </cell>
          <cell r="J60">
            <v>0</v>
          </cell>
        </row>
        <row r="61">
          <cell r="A61" t="str">
            <v>NYATI ELITE</v>
          </cell>
          <cell r="J61">
            <v>0</v>
          </cell>
        </row>
        <row r="62">
          <cell r="A62" t="str">
            <v>NYATI ELITE</v>
          </cell>
          <cell r="J62">
            <v>0</v>
          </cell>
        </row>
        <row r="63">
          <cell r="A63" t="str">
            <v>NYATI ELITE</v>
          </cell>
          <cell r="J63">
            <v>0</v>
          </cell>
        </row>
        <row r="64">
          <cell r="A64" t="str">
            <v>NYATI ELITE</v>
          </cell>
          <cell r="J64">
            <v>0</v>
          </cell>
        </row>
        <row r="65">
          <cell r="A65" t="str">
            <v>NYATI ELITE</v>
          </cell>
          <cell r="J65">
            <v>0</v>
          </cell>
        </row>
        <row r="66">
          <cell r="A66" t="str">
            <v>NYATI ELYSIA I</v>
          </cell>
          <cell r="J66">
            <v>0</v>
          </cell>
        </row>
        <row r="67">
          <cell r="A67" t="str">
            <v>NYATI ELYSIA I</v>
          </cell>
          <cell r="J67">
            <v>0</v>
          </cell>
        </row>
        <row r="68">
          <cell r="A68" t="str">
            <v>NYATI ELYSIA I</v>
          </cell>
          <cell r="J68">
            <v>0</v>
          </cell>
        </row>
        <row r="69">
          <cell r="A69" t="str">
            <v>NYATI ELYSIA I</v>
          </cell>
          <cell r="J69">
            <v>0</v>
          </cell>
        </row>
        <row r="70">
          <cell r="A70" t="str">
            <v>NYATI ELYSIA II</v>
          </cell>
          <cell r="J70">
            <v>0</v>
          </cell>
        </row>
        <row r="71">
          <cell r="A71" t="str">
            <v>NYATI ELYSIA III</v>
          </cell>
          <cell r="J71">
            <v>0</v>
          </cell>
        </row>
        <row r="72">
          <cell r="A72" t="str">
            <v>NYATI ELYSIA IV</v>
          </cell>
          <cell r="J72">
            <v>0</v>
          </cell>
        </row>
        <row r="73">
          <cell r="A73" t="str">
            <v>NYATI ELYSIA IV</v>
          </cell>
          <cell r="J73">
            <v>0</v>
          </cell>
        </row>
        <row r="74">
          <cell r="A74" t="str">
            <v>NYATI ELYSIA V</v>
          </cell>
          <cell r="J74">
            <v>0</v>
          </cell>
        </row>
        <row r="75">
          <cell r="A75" t="str">
            <v>NYATI EMBLEM</v>
          </cell>
          <cell r="J75">
            <v>0</v>
          </cell>
        </row>
        <row r="76">
          <cell r="A76" t="str">
            <v>NYATI EMBLEM</v>
          </cell>
          <cell r="J76">
            <v>161.35</v>
          </cell>
        </row>
        <row r="77">
          <cell r="A77" t="str">
            <v>NYATI EMERALD I</v>
          </cell>
          <cell r="J77">
            <v>40.090000000000003</v>
          </cell>
        </row>
        <row r="78">
          <cell r="A78" t="str">
            <v>NYATI EMERALD I</v>
          </cell>
          <cell r="J78">
            <v>122.98</v>
          </cell>
        </row>
        <row r="79">
          <cell r="A79" t="str">
            <v>NYATI EMERALD I</v>
          </cell>
          <cell r="J79">
            <v>0</v>
          </cell>
        </row>
        <row r="80">
          <cell r="A80" t="str">
            <v>NYATI EMERALD I</v>
          </cell>
          <cell r="J80">
            <v>56.47</v>
          </cell>
        </row>
        <row r="81">
          <cell r="A81" t="str">
            <v>NYATI EMERALD I</v>
          </cell>
          <cell r="J81">
            <v>63.56</v>
          </cell>
        </row>
        <row r="82">
          <cell r="A82" t="str">
            <v>NYATI EMERALD I</v>
          </cell>
          <cell r="J82">
            <v>0</v>
          </cell>
        </row>
        <row r="83">
          <cell r="A83" t="str">
            <v>NYATI EMERALD I</v>
          </cell>
          <cell r="J83">
            <v>192.81</v>
          </cell>
        </row>
        <row r="84">
          <cell r="A84" t="str">
            <v>NYATI EMERALD I</v>
          </cell>
          <cell r="J84">
            <v>95.19</v>
          </cell>
        </row>
        <row r="85">
          <cell r="A85" t="str">
            <v>NYATI EMERALD II</v>
          </cell>
          <cell r="J85">
            <v>64.459999999999994</v>
          </cell>
        </row>
        <row r="86">
          <cell r="A86" t="str">
            <v>NYATI EMERALD II</v>
          </cell>
          <cell r="J86">
            <v>1</v>
          </cell>
        </row>
        <row r="87">
          <cell r="A87" t="str">
            <v>NYATI EMERALD III</v>
          </cell>
          <cell r="J87">
            <v>341.07</v>
          </cell>
        </row>
        <row r="88">
          <cell r="A88" t="str">
            <v>NYATI EMERALD III</v>
          </cell>
          <cell r="J88">
            <v>67.849999999999994</v>
          </cell>
        </row>
        <row r="89">
          <cell r="A89" t="str">
            <v>NYATI EMERALD III</v>
          </cell>
          <cell r="J89">
            <v>4</v>
          </cell>
        </row>
        <row r="90">
          <cell r="A90" t="str">
            <v>NYATI EMERALD III</v>
          </cell>
          <cell r="J90">
            <v>499.31</v>
          </cell>
        </row>
        <row r="91">
          <cell r="A91" t="str">
            <v>NYATI EMERALD III</v>
          </cell>
          <cell r="J91">
            <v>264.56</v>
          </cell>
        </row>
        <row r="92">
          <cell r="A92" t="str">
            <v>NYATI EMPORIUS</v>
          </cell>
          <cell r="J92">
            <v>0</v>
          </cell>
        </row>
        <row r="93">
          <cell r="A93" t="str">
            <v>NYATI EMPRESS</v>
          </cell>
          <cell r="J93">
            <v>6.5</v>
          </cell>
        </row>
        <row r="94">
          <cell r="A94" t="str">
            <v>NYATI EMPRESS</v>
          </cell>
          <cell r="J94">
            <v>0</v>
          </cell>
        </row>
        <row r="95">
          <cell r="A95" t="str">
            <v>NYATI ENCHANTE I</v>
          </cell>
          <cell r="J95">
            <v>0</v>
          </cell>
        </row>
        <row r="96">
          <cell r="A96" t="str">
            <v>NYATI ENCHANTE-II</v>
          </cell>
          <cell r="J96">
            <v>0</v>
          </cell>
        </row>
        <row r="97">
          <cell r="A97" t="str">
            <v>NYATI ENCHANTE-III</v>
          </cell>
          <cell r="J97">
            <v>0</v>
          </cell>
        </row>
        <row r="98">
          <cell r="A98" t="str">
            <v>NYATI ENTHRAL I</v>
          </cell>
          <cell r="J98">
            <v>162.28</v>
          </cell>
        </row>
        <row r="99">
          <cell r="A99" t="str">
            <v>NYATI EPITOME</v>
          </cell>
          <cell r="J99">
            <v>0</v>
          </cell>
        </row>
        <row r="100">
          <cell r="A100" t="str">
            <v>NYATI EPITOME</v>
          </cell>
          <cell r="J100">
            <v>0</v>
          </cell>
        </row>
        <row r="101">
          <cell r="A101" t="str">
            <v>NYATI EQUATORIAL</v>
          </cell>
          <cell r="J101">
            <v>0</v>
          </cell>
        </row>
        <row r="102">
          <cell r="A102" t="str">
            <v>NYATI EQUATORIAL</v>
          </cell>
          <cell r="J102">
            <v>0</v>
          </cell>
        </row>
        <row r="103">
          <cell r="A103" t="str">
            <v>NYATI EQUATORIAL</v>
          </cell>
          <cell r="J103">
            <v>0</v>
          </cell>
        </row>
        <row r="104">
          <cell r="A104" t="str">
            <v>NYATI EQUATORIAL</v>
          </cell>
          <cell r="J104">
            <v>0</v>
          </cell>
        </row>
        <row r="105">
          <cell r="A105" t="str">
            <v>NYATI EQUATORIAL</v>
          </cell>
          <cell r="J105">
            <v>0</v>
          </cell>
        </row>
        <row r="106">
          <cell r="A106" t="str">
            <v>NYATI EQUATORIAL</v>
          </cell>
          <cell r="J106">
            <v>0</v>
          </cell>
        </row>
        <row r="107">
          <cell r="A107" t="str">
            <v>NYATI EQUATORIAL- II</v>
          </cell>
          <cell r="J107">
            <v>0</v>
          </cell>
        </row>
        <row r="108">
          <cell r="A108" t="str">
            <v>NYATI EQUATORIAL- II</v>
          </cell>
          <cell r="J108">
            <v>0</v>
          </cell>
        </row>
        <row r="109">
          <cell r="A109" t="str">
            <v>NYATI EQUATORIAL- II</v>
          </cell>
          <cell r="J109">
            <v>0</v>
          </cell>
        </row>
        <row r="110">
          <cell r="A110" t="str">
            <v>NYATI EQUATORIAL- II</v>
          </cell>
          <cell r="J110">
            <v>0</v>
          </cell>
        </row>
        <row r="111">
          <cell r="A111" t="str">
            <v>NYATI EQUATORIAL- II</v>
          </cell>
          <cell r="J111">
            <v>0</v>
          </cell>
        </row>
        <row r="112">
          <cell r="A112" t="str">
            <v>NYATI EQUATORIAL- II</v>
          </cell>
          <cell r="J112">
            <v>0</v>
          </cell>
        </row>
        <row r="113">
          <cell r="A113" t="str">
            <v>NYATI EQUINOX I</v>
          </cell>
          <cell r="J113">
            <v>72.92</v>
          </cell>
        </row>
        <row r="114">
          <cell r="A114" t="str">
            <v>NYATI EQUINOX I</v>
          </cell>
          <cell r="J114">
            <v>48.74</v>
          </cell>
        </row>
        <row r="115">
          <cell r="A115" t="str">
            <v>NYATI EQUINOX I</v>
          </cell>
          <cell r="J115">
            <v>7.84</v>
          </cell>
        </row>
        <row r="116">
          <cell r="A116" t="str">
            <v>NYATI EQUINOX I</v>
          </cell>
          <cell r="J116">
            <v>162.32</v>
          </cell>
        </row>
        <row r="117">
          <cell r="A117" t="str">
            <v>NYATI EQUINOX I</v>
          </cell>
          <cell r="J117">
            <v>23.59</v>
          </cell>
        </row>
        <row r="118">
          <cell r="A118" t="str">
            <v>NYATI EQUINOX I</v>
          </cell>
          <cell r="J118">
            <v>27.42</v>
          </cell>
        </row>
        <row r="119">
          <cell r="A119" t="str">
            <v>NYATI EQUINOX I</v>
          </cell>
          <cell r="J119">
            <v>56.01</v>
          </cell>
        </row>
        <row r="120">
          <cell r="A120" t="str">
            <v>NYATI EQUINOX I</v>
          </cell>
          <cell r="J120">
            <v>65.11</v>
          </cell>
        </row>
        <row r="121">
          <cell r="A121" t="str">
            <v>NYATI EQUINOX I</v>
          </cell>
          <cell r="J121">
            <v>133.27000000000001</v>
          </cell>
        </row>
        <row r="122">
          <cell r="A122" t="str">
            <v>NYATI EQUINOX I</v>
          </cell>
          <cell r="J122">
            <v>180.77</v>
          </cell>
        </row>
        <row r="123">
          <cell r="A123" t="str">
            <v>NYATI EQUINOX I</v>
          </cell>
          <cell r="J123">
            <v>43.63</v>
          </cell>
        </row>
        <row r="124">
          <cell r="A124" t="str">
            <v>NYATI EQUINOX I</v>
          </cell>
          <cell r="J124">
            <v>36.85</v>
          </cell>
        </row>
        <row r="125">
          <cell r="A125" t="str">
            <v>NYATI EQUINOX I</v>
          </cell>
          <cell r="J125">
            <v>202.07</v>
          </cell>
        </row>
        <row r="126">
          <cell r="A126" t="str">
            <v>NYATI EQUINOX II</v>
          </cell>
          <cell r="J126">
            <v>121.89</v>
          </cell>
        </row>
        <row r="127">
          <cell r="A127" t="str">
            <v>NYATI EQUINOX II</v>
          </cell>
          <cell r="J127">
            <v>60.09</v>
          </cell>
        </row>
        <row r="128">
          <cell r="A128" t="str">
            <v>NYATI ERA I</v>
          </cell>
          <cell r="J128">
            <v>0</v>
          </cell>
        </row>
        <row r="129">
          <cell r="A129" t="str">
            <v>NYATI ERA I</v>
          </cell>
          <cell r="J129">
            <v>0</v>
          </cell>
        </row>
        <row r="130">
          <cell r="A130" t="str">
            <v>NYATI ERA I</v>
          </cell>
          <cell r="J130">
            <v>24.74</v>
          </cell>
        </row>
        <row r="131">
          <cell r="A131" t="str">
            <v>NYATI ERA I</v>
          </cell>
          <cell r="J131">
            <v>0</v>
          </cell>
        </row>
        <row r="132">
          <cell r="A132" t="str">
            <v>NYATI ERA I</v>
          </cell>
          <cell r="J132">
            <v>0</v>
          </cell>
        </row>
        <row r="133">
          <cell r="A133" t="str">
            <v>NYATI ERA I</v>
          </cell>
          <cell r="J133">
            <v>0</v>
          </cell>
        </row>
        <row r="134">
          <cell r="A134" t="str">
            <v>NYATI ERA I</v>
          </cell>
          <cell r="J134">
            <v>0</v>
          </cell>
        </row>
        <row r="135">
          <cell r="A135" t="str">
            <v>NYATI ERA II</v>
          </cell>
          <cell r="J135">
            <v>421.65</v>
          </cell>
        </row>
        <row r="136">
          <cell r="A136" t="str">
            <v>NYATI ERA II</v>
          </cell>
          <cell r="J136">
            <v>65.37</v>
          </cell>
        </row>
        <row r="137">
          <cell r="A137" t="str">
            <v>NYATI ERA II</v>
          </cell>
          <cell r="J137">
            <v>0</v>
          </cell>
        </row>
        <row r="138">
          <cell r="A138" t="str">
            <v>NYATI ERA III</v>
          </cell>
          <cell r="J138">
            <v>0</v>
          </cell>
        </row>
        <row r="139">
          <cell r="A139" t="str">
            <v>NYATI ERA III</v>
          </cell>
          <cell r="J139">
            <v>133.91</v>
          </cell>
        </row>
        <row r="140">
          <cell r="A140" t="str">
            <v>NYATI ERA III</v>
          </cell>
          <cell r="J140">
            <v>80.16</v>
          </cell>
        </row>
        <row r="141">
          <cell r="A141" t="str">
            <v>NYATI ERA III</v>
          </cell>
          <cell r="J141">
            <v>216.07</v>
          </cell>
        </row>
        <row r="142">
          <cell r="A142" t="str">
            <v>NYATI ERA III</v>
          </cell>
          <cell r="J142">
            <v>4.6399999999999997</v>
          </cell>
        </row>
        <row r="143">
          <cell r="A143" t="str">
            <v>NYATI ERA IV</v>
          </cell>
          <cell r="J143">
            <v>64.98</v>
          </cell>
        </row>
        <row r="144">
          <cell r="A144" t="str">
            <v>NYATI ERA IV</v>
          </cell>
          <cell r="J144">
            <v>37.94</v>
          </cell>
        </row>
        <row r="145">
          <cell r="A145" t="str">
            <v>NYATI ERA IV</v>
          </cell>
          <cell r="J145">
            <v>38.71</v>
          </cell>
        </row>
        <row r="146">
          <cell r="A146" t="str">
            <v>NYATI ERICA</v>
          </cell>
          <cell r="J146">
            <v>0</v>
          </cell>
        </row>
        <row r="147">
          <cell r="A147" t="str">
            <v>NYATI ERICA</v>
          </cell>
          <cell r="J147">
            <v>0</v>
          </cell>
        </row>
        <row r="148">
          <cell r="A148" t="str">
            <v>NYATI ESTEBAN II</v>
          </cell>
          <cell r="J148">
            <v>177.74</v>
          </cell>
        </row>
        <row r="149">
          <cell r="A149" t="str">
            <v>NYATI ESTEBAN II</v>
          </cell>
          <cell r="J149">
            <v>60.92</v>
          </cell>
        </row>
        <row r="150">
          <cell r="A150" t="str">
            <v>NYATI ESTEBAN II</v>
          </cell>
          <cell r="J150">
            <v>136.18</v>
          </cell>
        </row>
        <row r="151">
          <cell r="A151" t="str">
            <v>NYATI ESTEBAN II</v>
          </cell>
          <cell r="J151">
            <v>86.07</v>
          </cell>
        </row>
        <row r="152">
          <cell r="A152" t="str">
            <v>NYATI ESTEBAN II</v>
          </cell>
          <cell r="J152">
            <v>434.82</v>
          </cell>
        </row>
        <row r="153">
          <cell r="A153" t="str">
            <v>NYATI ESTEBAN-I</v>
          </cell>
          <cell r="J153">
            <v>0</v>
          </cell>
        </row>
        <row r="154">
          <cell r="A154" t="str">
            <v>NYATI ESTEBAN-I</v>
          </cell>
          <cell r="J154">
            <v>0</v>
          </cell>
        </row>
        <row r="155">
          <cell r="A155" t="str">
            <v>NYATI ESTEBAN-I</v>
          </cell>
          <cell r="J155">
            <v>0</v>
          </cell>
        </row>
        <row r="156">
          <cell r="A156" t="str">
            <v>NYATI ESTEBAN-I</v>
          </cell>
          <cell r="J156">
            <v>0</v>
          </cell>
        </row>
        <row r="157">
          <cell r="A157" t="str">
            <v>NYATI ESTEBAN-I</v>
          </cell>
          <cell r="J157">
            <v>0</v>
          </cell>
        </row>
        <row r="158">
          <cell r="A158" t="str">
            <v>NYATI ESTEBAN-I</v>
          </cell>
          <cell r="J158">
            <v>0</v>
          </cell>
        </row>
        <row r="159">
          <cell r="A159" t="str">
            <v>NYATI ESTEBAN-I</v>
          </cell>
          <cell r="J159">
            <v>0</v>
          </cell>
        </row>
        <row r="160">
          <cell r="A160" t="str">
            <v>NYATI ETERNITY PH - IV</v>
          </cell>
          <cell r="J160">
            <v>0</v>
          </cell>
        </row>
        <row r="161">
          <cell r="A161" t="str">
            <v>NYATI ETERNITY PH - IV</v>
          </cell>
          <cell r="J161">
            <v>0</v>
          </cell>
        </row>
        <row r="162">
          <cell r="A162" t="str">
            <v>NYATI ETERNITY COMMERCIAL - I</v>
          </cell>
          <cell r="J162">
            <v>0</v>
          </cell>
        </row>
        <row r="163">
          <cell r="A163" t="str">
            <v>NYATI ETERNITY COMMERCIAL - I</v>
          </cell>
          <cell r="J163">
            <v>0</v>
          </cell>
        </row>
        <row r="164">
          <cell r="A164" t="str">
            <v>NYATI ETERNITY COMMERCIAL-II</v>
          </cell>
          <cell r="J164">
            <v>0</v>
          </cell>
        </row>
        <row r="165">
          <cell r="A165" t="str">
            <v>NYATI ETERNITY COMMERCIAL-II</v>
          </cell>
          <cell r="J165">
            <v>0</v>
          </cell>
        </row>
        <row r="166">
          <cell r="A166" t="str">
            <v>NYATI ETERNITY Ph-I</v>
          </cell>
          <cell r="J166">
            <v>0</v>
          </cell>
        </row>
        <row r="167">
          <cell r="A167" t="str">
            <v>NYATI ETERNITY Ph-I</v>
          </cell>
          <cell r="J167">
            <v>0</v>
          </cell>
        </row>
        <row r="168">
          <cell r="A168" t="str">
            <v>NYATI ETERNITY Ph-I</v>
          </cell>
          <cell r="J168">
            <v>0</v>
          </cell>
        </row>
        <row r="169">
          <cell r="A169" t="str">
            <v>NYATI ETERNITY Ph-I</v>
          </cell>
          <cell r="J169">
            <v>0</v>
          </cell>
        </row>
        <row r="170">
          <cell r="A170" t="str">
            <v>NYATI ETERNITY Ph-II</v>
          </cell>
          <cell r="J170">
            <v>0</v>
          </cell>
        </row>
        <row r="171">
          <cell r="A171" t="str">
            <v>NYATI ETERNITY Ph-II</v>
          </cell>
          <cell r="J171">
            <v>0</v>
          </cell>
        </row>
        <row r="172">
          <cell r="A172" t="str">
            <v>NYATI ETERNITY Ph-II</v>
          </cell>
          <cell r="J172">
            <v>0</v>
          </cell>
        </row>
        <row r="173">
          <cell r="A173" t="str">
            <v>NYATI ETERNITY Ph-II</v>
          </cell>
          <cell r="J173">
            <v>0</v>
          </cell>
        </row>
        <row r="174">
          <cell r="A174" t="str">
            <v>NYATI EUDORA</v>
          </cell>
          <cell r="J174">
            <v>0</v>
          </cell>
        </row>
        <row r="175">
          <cell r="A175" t="str">
            <v>NYATI EUREKA</v>
          </cell>
          <cell r="J175">
            <v>0</v>
          </cell>
        </row>
        <row r="176">
          <cell r="A176" t="str">
            <v>NYATI EUREKA</v>
          </cell>
          <cell r="J176">
            <v>0</v>
          </cell>
        </row>
        <row r="177">
          <cell r="A177" t="str">
            <v>NYATI EVANIA</v>
          </cell>
          <cell r="J177">
            <v>101.86</v>
          </cell>
        </row>
        <row r="178">
          <cell r="A178" t="str">
            <v>NYATI EVANIA</v>
          </cell>
          <cell r="J178">
            <v>62.4</v>
          </cell>
        </row>
        <row r="179">
          <cell r="A179" t="str">
            <v>NYATI EVANIA</v>
          </cell>
          <cell r="J179">
            <v>10.68</v>
          </cell>
        </row>
        <row r="180">
          <cell r="A180" t="str">
            <v>NYATI EVARA ( AVALON GROUP PVT LTD)</v>
          </cell>
          <cell r="J180">
            <v>0</v>
          </cell>
        </row>
        <row r="181">
          <cell r="A181" t="str">
            <v>NYATI EVARA ( AVALON GROUP PVT LTD)</v>
          </cell>
          <cell r="J181">
            <v>0</v>
          </cell>
        </row>
        <row r="182">
          <cell r="A182" t="str">
            <v>NYATI EVARA ( AVALON GROUP PVT LTD)</v>
          </cell>
          <cell r="J182">
            <v>0</v>
          </cell>
        </row>
        <row r="183">
          <cell r="A183" t="str">
            <v>NYATI EVARA ( AVALON GROUP PVT LTD)</v>
          </cell>
          <cell r="J183">
            <v>0</v>
          </cell>
        </row>
        <row r="184">
          <cell r="A184" t="str">
            <v>NYATI EVARA ( AVALON GROUP PVT LTD)</v>
          </cell>
          <cell r="J184">
            <v>0</v>
          </cell>
        </row>
        <row r="185">
          <cell r="A185" t="str">
            <v>NYATI EVARA - I</v>
          </cell>
          <cell r="J185">
            <v>0</v>
          </cell>
        </row>
        <row r="186">
          <cell r="A186" t="str">
            <v>NYATI EVARA - I</v>
          </cell>
          <cell r="J186">
            <v>0</v>
          </cell>
        </row>
        <row r="187">
          <cell r="A187" t="str">
            <v>NYATI EVARA - I</v>
          </cell>
          <cell r="J187">
            <v>0</v>
          </cell>
        </row>
        <row r="188">
          <cell r="A188" t="str">
            <v>NYATI EVARA - I</v>
          </cell>
          <cell r="J188">
            <v>0</v>
          </cell>
        </row>
        <row r="189">
          <cell r="A189" t="str">
            <v>NYATI EVARA - I</v>
          </cell>
          <cell r="J189">
            <v>0</v>
          </cell>
        </row>
        <row r="190">
          <cell r="A190" t="str">
            <v>NYATI EVARA - II</v>
          </cell>
          <cell r="J190">
            <v>0</v>
          </cell>
        </row>
        <row r="191">
          <cell r="A191" t="str">
            <v>NYATI EVARA - II</v>
          </cell>
          <cell r="J191">
            <v>0</v>
          </cell>
        </row>
        <row r="192">
          <cell r="A192" t="str">
            <v>NYATI EVARA - II ( AVALON GROUP PVT LTD)</v>
          </cell>
          <cell r="J192">
            <v>0</v>
          </cell>
        </row>
        <row r="193">
          <cell r="A193" t="str">
            <v>NYATI EVARA - II ( AVALON GROUP PVT LTD)</v>
          </cell>
          <cell r="J193">
            <v>0</v>
          </cell>
        </row>
        <row r="194">
          <cell r="A194" t="str">
            <v>NYATI EVITA PH-1</v>
          </cell>
          <cell r="J194">
            <v>0</v>
          </cell>
        </row>
        <row r="195">
          <cell r="A195" t="str">
            <v>NYATI EVITA PH-1</v>
          </cell>
          <cell r="J195">
            <v>0</v>
          </cell>
        </row>
        <row r="196">
          <cell r="A196" t="str">
            <v>NYATI EVITA PH-1</v>
          </cell>
          <cell r="J196">
            <v>0</v>
          </cell>
        </row>
        <row r="197">
          <cell r="A197" t="str">
            <v>NYATI EVITA PH-1</v>
          </cell>
          <cell r="J197">
            <v>0</v>
          </cell>
        </row>
        <row r="198">
          <cell r="A198" t="str">
            <v>NYATI EVITA PH-1</v>
          </cell>
          <cell r="J198">
            <v>0</v>
          </cell>
        </row>
        <row r="199">
          <cell r="A199" t="str">
            <v>NYATI EVOLVE I</v>
          </cell>
          <cell r="J199">
            <v>0</v>
          </cell>
        </row>
        <row r="200">
          <cell r="A200" t="str">
            <v>NYATI EVOLVE I</v>
          </cell>
          <cell r="J200">
            <v>0</v>
          </cell>
        </row>
        <row r="201">
          <cell r="A201" t="str">
            <v>NYATI EVOLVE II</v>
          </cell>
          <cell r="J201">
            <v>0</v>
          </cell>
        </row>
        <row r="202">
          <cell r="A202" t="str">
            <v>NYATI EVOLVE II</v>
          </cell>
          <cell r="J202">
            <v>0</v>
          </cell>
        </row>
        <row r="203">
          <cell r="A203" t="str">
            <v>NYATI EVOLVE III</v>
          </cell>
          <cell r="J203">
            <v>0</v>
          </cell>
        </row>
        <row r="204">
          <cell r="A204" t="str">
            <v>NYATI EVOQUE</v>
          </cell>
          <cell r="J204">
            <v>257.35000000000002</v>
          </cell>
        </row>
        <row r="205">
          <cell r="A205" t="str">
            <v>NYATI EVOQUE</v>
          </cell>
          <cell r="J205">
            <v>160.38999999999999</v>
          </cell>
        </row>
        <row r="206">
          <cell r="A206" t="str">
            <v>NYATI EXUBERANCE I</v>
          </cell>
          <cell r="J206">
            <v>0</v>
          </cell>
        </row>
        <row r="207">
          <cell r="A207" t="str">
            <v>NYATI EXUBERANCE I</v>
          </cell>
          <cell r="J207">
            <v>0</v>
          </cell>
        </row>
        <row r="208">
          <cell r="A208" t="str">
            <v>NYATI EXUBERANCE II</v>
          </cell>
          <cell r="J208">
            <v>0</v>
          </cell>
        </row>
        <row r="209">
          <cell r="A209" t="str">
            <v>NYATI EXUBERANCE II</v>
          </cell>
          <cell r="J209">
            <v>0</v>
          </cell>
        </row>
        <row r="210">
          <cell r="A210" t="str">
            <v>NYATI EXUBERANCE III</v>
          </cell>
          <cell r="J210">
            <v>0</v>
          </cell>
        </row>
        <row r="211">
          <cell r="A211" t="str">
            <v>NYATI EXUBERANCE III</v>
          </cell>
          <cell r="J211">
            <v>79.67</v>
          </cell>
        </row>
        <row r="212">
          <cell r="A212" t="str">
            <v>NYATI EXUBERANCE IV</v>
          </cell>
          <cell r="J212">
            <v>412.97</v>
          </cell>
        </row>
        <row r="213">
          <cell r="A213" t="str">
            <v>NYATI EXUBERANCE IV</v>
          </cell>
          <cell r="J213">
            <v>382.49</v>
          </cell>
        </row>
        <row r="214">
          <cell r="A214" t="str">
            <v>NYATI EXUBERANCE IV</v>
          </cell>
          <cell r="J214">
            <v>112.08</v>
          </cell>
        </row>
        <row r="215">
          <cell r="A215" t="str">
            <v>NYATI KALEIDOSCOPE</v>
          </cell>
          <cell r="J215">
            <v>0</v>
          </cell>
        </row>
        <row r="216">
          <cell r="A216" t="str">
            <v>NYATI KALEIDOSCOPE</v>
          </cell>
          <cell r="J216">
            <v>0</v>
          </cell>
        </row>
        <row r="217">
          <cell r="A217" t="str">
            <v>NYATI MEADOWS Ph-III</v>
          </cell>
          <cell r="J217">
            <v>0</v>
          </cell>
        </row>
        <row r="218">
          <cell r="A218" t="str">
            <v>NYATI MEADOWS Ph-III</v>
          </cell>
          <cell r="J218">
            <v>0</v>
          </cell>
        </row>
        <row r="219">
          <cell r="A219" t="str">
            <v>NYATI PLAZA</v>
          </cell>
          <cell r="J219">
            <v>0</v>
          </cell>
        </row>
        <row r="220">
          <cell r="A220" t="str">
            <v>NYATI PLAZA</v>
          </cell>
          <cell r="J220">
            <v>0</v>
          </cell>
        </row>
        <row r="221">
          <cell r="A221" t="str">
            <v>NYATI PLAZA</v>
          </cell>
          <cell r="J221">
            <v>0</v>
          </cell>
        </row>
        <row r="222">
          <cell r="A222" t="str">
            <v>NYATI PLAZA</v>
          </cell>
          <cell r="J222">
            <v>0</v>
          </cell>
        </row>
        <row r="223">
          <cell r="A223" t="str">
            <v>NYATI VICTORIA</v>
          </cell>
          <cell r="J223">
            <v>0</v>
          </cell>
        </row>
        <row r="224">
          <cell r="A224" t="str">
            <v>NYATI WINDCHIMES-II</v>
          </cell>
          <cell r="J224">
            <v>0</v>
          </cell>
        </row>
        <row r="225">
          <cell r="A225" t="str">
            <v>PRAKRUTI NIRWANA</v>
          </cell>
          <cell r="J225">
            <v>0</v>
          </cell>
        </row>
        <row r="226">
          <cell r="A226" t="str">
            <v>SAMPLE PROJECT</v>
          </cell>
          <cell r="J226">
            <v>0</v>
          </cell>
        </row>
        <row r="227">
          <cell r="A227" t="str">
            <v>test</v>
          </cell>
          <cell r="J227">
            <v>0</v>
          </cell>
        </row>
        <row r="228">
          <cell r="A228" t="str">
            <v>TEST PROJECT MIS</v>
          </cell>
          <cell r="J228">
            <v>0</v>
          </cell>
        </row>
      </sheetData>
      <sheetData sheetId="5">
        <row r="5">
          <cell r="B5" t="str">
            <v>project</v>
          </cell>
          <cell r="K5" t="str">
            <v>Area1</v>
          </cell>
          <cell r="L5" t="str">
            <v>Agg_Value</v>
          </cell>
        </row>
        <row r="6">
          <cell r="B6" t="str">
            <v>NYATI EQUINOX I</v>
          </cell>
          <cell r="K6">
            <v>506</v>
          </cell>
          <cell r="L6">
            <v>6030000</v>
          </cell>
        </row>
        <row r="7">
          <cell r="B7" t="str">
            <v>NYATI EQUINOX I</v>
          </cell>
          <cell r="K7">
            <v>1152</v>
          </cell>
          <cell r="L7">
            <v>9158400</v>
          </cell>
        </row>
        <row r="8">
          <cell r="B8" t="str">
            <v>NYATI EQUINOX I</v>
          </cell>
          <cell r="K8">
            <v>1719</v>
          </cell>
          <cell r="L8">
            <v>13923900</v>
          </cell>
        </row>
        <row r="9">
          <cell r="B9" t="str">
            <v>NYATI EQUINOX I</v>
          </cell>
          <cell r="K9">
            <v>1152</v>
          </cell>
          <cell r="L9">
            <v>9245952</v>
          </cell>
        </row>
        <row r="10">
          <cell r="B10" t="str">
            <v>NYATI EQUINOX I</v>
          </cell>
          <cell r="K10">
            <v>682</v>
          </cell>
          <cell r="L10">
            <v>6816800</v>
          </cell>
        </row>
        <row r="11">
          <cell r="B11" t="str">
            <v>NYATI EQUINOX I</v>
          </cell>
          <cell r="K11">
            <v>1152</v>
          </cell>
          <cell r="L11">
            <v>9194000</v>
          </cell>
        </row>
        <row r="12">
          <cell r="B12" t="str">
            <v>NYATI EQUINOX II</v>
          </cell>
          <cell r="K12">
            <v>733</v>
          </cell>
          <cell r="L12">
            <v>5062831</v>
          </cell>
        </row>
        <row r="13">
          <cell r="B13" t="str">
            <v>NYATI EQUINOX II</v>
          </cell>
          <cell r="K13">
            <v>733</v>
          </cell>
          <cell r="L13">
            <v>2366000</v>
          </cell>
        </row>
        <row r="14">
          <cell r="B14" t="str">
            <v>NYATI DEFENCE ENCLAVE III</v>
          </cell>
          <cell r="K14">
            <v>581</v>
          </cell>
          <cell r="L14">
            <v>1627000</v>
          </cell>
        </row>
        <row r="15">
          <cell r="B15" t="str">
            <v>NYATI ELENOR</v>
          </cell>
          <cell r="K15">
            <v>2675</v>
          </cell>
          <cell r="L15">
            <v>33705000</v>
          </cell>
        </row>
        <row r="16">
          <cell r="B16" t="str">
            <v>NYATI ELENOR</v>
          </cell>
          <cell r="K16">
            <v>3255</v>
          </cell>
          <cell r="L16">
            <v>40687500</v>
          </cell>
        </row>
        <row r="17">
          <cell r="B17" t="str">
            <v>NYATI ELENOR</v>
          </cell>
          <cell r="K17">
            <v>3255</v>
          </cell>
          <cell r="L17">
            <v>33500000</v>
          </cell>
        </row>
        <row r="18">
          <cell r="B18" t="str">
            <v>NYATI ELENOR</v>
          </cell>
          <cell r="K18">
            <v>3255</v>
          </cell>
          <cell r="L18">
            <v>33500000</v>
          </cell>
        </row>
        <row r="19">
          <cell r="B19" t="str">
            <v>NYATI ELENOR</v>
          </cell>
          <cell r="K19">
            <v>3255</v>
          </cell>
          <cell r="L19">
            <v>34300000</v>
          </cell>
        </row>
        <row r="20">
          <cell r="B20" t="str">
            <v>NYATI ELENOR</v>
          </cell>
          <cell r="K20">
            <v>3255</v>
          </cell>
          <cell r="L20">
            <v>33500000</v>
          </cell>
        </row>
        <row r="21">
          <cell r="B21" t="str">
            <v>NYATI ELENOR</v>
          </cell>
          <cell r="K21">
            <v>2505</v>
          </cell>
          <cell r="L21">
            <v>28200000</v>
          </cell>
        </row>
        <row r="22">
          <cell r="B22" t="str">
            <v>NYATI ELENOR</v>
          </cell>
          <cell r="K22">
            <v>2675</v>
          </cell>
          <cell r="L22">
            <v>31100000</v>
          </cell>
        </row>
        <row r="23">
          <cell r="B23" t="str">
            <v>NYATI ELENOR</v>
          </cell>
          <cell r="K23">
            <v>2675</v>
          </cell>
          <cell r="L23">
            <v>26800000</v>
          </cell>
        </row>
        <row r="24">
          <cell r="B24" t="str">
            <v>NYATI ELENOR</v>
          </cell>
          <cell r="K24">
            <v>2675</v>
          </cell>
          <cell r="L24">
            <v>26800000</v>
          </cell>
        </row>
        <row r="25">
          <cell r="B25" t="str">
            <v>NYATI ELENOR</v>
          </cell>
          <cell r="K25">
            <v>3255</v>
          </cell>
          <cell r="L25">
            <v>32700000</v>
          </cell>
        </row>
        <row r="26">
          <cell r="B26" t="str">
            <v>NYATI EMERALD I</v>
          </cell>
          <cell r="K26">
            <v>1173</v>
          </cell>
          <cell r="L26">
            <v>9911850</v>
          </cell>
        </row>
        <row r="27">
          <cell r="B27" t="str">
            <v>NYATI EMERALD II</v>
          </cell>
          <cell r="K27">
            <v>664</v>
          </cell>
          <cell r="L27">
            <v>2217900</v>
          </cell>
        </row>
        <row r="28">
          <cell r="B28" t="str">
            <v>NYATI EMERALD III</v>
          </cell>
          <cell r="K28">
            <v>1173</v>
          </cell>
          <cell r="L28">
            <v>9735900</v>
          </cell>
        </row>
        <row r="29">
          <cell r="B29" t="str">
            <v>NYATI EMERALD III</v>
          </cell>
          <cell r="K29">
            <v>1698</v>
          </cell>
          <cell r="L29">
            <v>14441771</v>
          </cell>
        </row>
        <row r="30">
          <cell r="B30" t="str">
            <v>NYATI EMERALD III</v>
          </cell>
          <cell r="K30">
            <v>1173</v>
          </cell>
          <cell r="L30">
            <v>9916964</v>
          </cell>
        </row>
        <row r="31">
          <cell r="B31" t="str">
            <v>NYATI EMERALD III</v>
          </cell>
          <cell r="K31">
            <v>1173</v>
          </cell>
          <cell r="L31">
            <v>9501300</v>
          </cell>
        </row>
        <row r="32">
          <cell r="B32" t="str">
            <v>NYATI EVOQUE</v>
          </cell>
          <cell r="K32">
            <v>2126</v>
          </cell>
          <cell r="L32">
            <v>26396416</v>
          </cell>
        </row>
        <row r="33">
          <cell r="B33" t="str">
            <v>NYATI EVOQUE</v>
          </cell>
          <cell r="K33">
            <v>2571</v>
          </cell>
          <cell r="L33">
            <v>28300000</v>
          </cell>
        </row>
        <row r="34">
          <cell r="B34" t="str">
            <v>NYATI EVOQUE</v>
          </cell>
          <cell r="K34">
            <v>2492</v>
          </cell>
          <cell r="L34">
            <v>25000000</v>
          </cell>
        </row>
        <row r="35">
          <cell r="B35" t="str">
            <v>NYATI EVOQUE</v>
          </cell>
          <cell r="K35">
            <v>2175</v>
          </cell>
          <cell r="L35">
            <v>27140000</v>
          </cell>
        </row>
        <row r="36">
          <cell r="B36" t="str">
            <v>NYATI EXUBERANCE III</v>
          </cell>
          <cell r="K36">
            <v>460</v>
          </cell>
          <cell r="L36">
            <v>1513200</v>
          </cell>
        </row>
        <row r="37">
          <cell r="B37" t="str">
            <v>NYATI EXUBERANCE IV</v>
          </cell>
          <cell r="K37">
            <v>981</v>
          </cell>
          <cell r="L37">
            <v>5654484</v>
          </cell>
        </row>
        <row r="38">
          <cell r="B38" t="str">
            <v>NYATI EXUBERANCE IV</v>
          </cell>
          <cell r="K38">
            <v>981</v>
          </cell>
          <cell r="L38">
            <v>5689800</v>
          </cell>
        </row>
        <row r="39">
          <cell r="B39" t="str">
            <v>NYATI EXUBERANCE IV</v>
          </cell>
          <cell r="K39">
            <v>981</v>
          </cell>
          <cell r="L39">
            <v>5426892</v>
          </cell>
        </row>
        <row r="40">
          <cell r="B40" t="str">
            <v>NYATI EXUBERANCE IV</v>
          </cell>
          <cell r="K40">
            <v>985</v>
          </cell>
          <cell r="L40">
            <v>5447050</v>
          </cell>
        </row>
        <row r="41">
          <cell r="B41" t="str">
            <v>NYATI EXUBERANCE IV</v>
          </cell>
          <cell r="K41">
            <v>981</v>
          </cell>
          <cell r="L41">
            <v>5886981</v>
          </cell>
        </row>
        <row r="42">
          <cell r="B42" t="str">
            <v>NYATI EXUBERANCE IV</v>
          </cell>
          <cell r="K42">
            <v>985</v>
          </cell>
          <cell r="L42">
            <v>5844005</v>
          </cell>
        </row>
        <row r="43">
          <cell r="B43" t="str">
            <v>NYATI EMBLEM</v>
          </cell>
          <cell r="K43">
            <v>3642</v>
          </cell>
          <cell r="L43">
            <v>36500000</v>
          </cell>
        </row>
        <row r="44">
          <cell r="B44" t="str">
            <v>NYATI ERA II</v>
          </cell>
          <cell r="K44">
            <v>574</v>
          </cell>
          <cell r="L44">
            <v>1805600</v>
          </cell>
        </row>
        <row r="45">
          <cell r="B45" t="str">
            <v>NYATI ERA II</v>
          </cell>
          <cell r="K45">
            <v>574</v>
          </cell>
          <cell r="L45">
            <v>1805600</v>
          </cell>
        </row>
        <row r="46">
          <cell r="B46" t="str">
            <v>NYATI ERA II</v>
          </cell>
          <cell r="K46">
            <v>574</v>
          </cell>
          <cell r="L46">
            <v>1805600</v>
          </cell>
        </row>
        <row r="47">
          <cell r="B47" t="str">
            <v>NYATI ERA II</v>
          </cell>
          <cell r="K47">
            <v>248</v>
          </cell>
          <cell r="L47">
            <v>2897196</v>
          </cell>
        </row>
        <row r="48">
          <cell r="B48" t="str">
            <v>NYATI ERA II</v>
          </cell>
          <cell r="K48">
            <v>574</v>
          </cell>
          <cell r="L48">
            <v>1805600</v>
          </cell>
        </row>
        <row r="49">
          <cell r="B49" t="str">
            <v>NYATI ERA IV</v>
          </cell>
          <cell r="K49">
            <v>1143</v>
          </cell>
          <cell r="L49">
            <v>7943850</v>
          </cell>
        </row>
        <row r="50">
          <cell r="B50" t="str">
            <v>NYATI ERA IV</v>
          </cell>
          <cell r="K50">
            <v>1143</v>
          </cell>
          <cell r="L50">
            <v>7943850</v>
          </cell>
        </row>
        <row r="51">
          <cell r="B51" t="str">
            <v>NYATI ERA IV</v>
          </cell>
          <cell r="K51">
            <v>1143</v>
          </cell>
          <cell r="L51">
            <v>7829550</v>
          </cell>
        </row>
        <row r="52">
          <cell r="B52" t="str">
            <v>NYATI ERA IV</v>
          </cell>
          <cell r="K52">
            <v>1625</v>
          </cell>
          <cell r="L52">
            <v>10812900</v>
          </cell>
        </row>
        <row r="53">
          <cell r="B53" t="str">
            <v>NYATI ERA IV</v>
          </cell>
          <cell r="K53">
            <v>1116</v>
          </cell>
          <cell r="L53">
            <v>7548214</v>
          </cell>
        </row>
        <row r="54">
          <cell r="B54" t="str">
            <v>NYATI ERA IV</v>
          </cell>
          <cell r="K54">
            <v>1625</v>
          </cell>
          <cell r="L54">
            <v>11382000</v>
          </cell>
        </row>
        <row r="55">
          <cell r="B55" t="str">
            <v>NYATI ERA IV</v>
          </cell>
          <cell r="K55">
            <v>1116</v>
          </cell>
          <cell r="L55">
            <v>7593750</v>
          </cell>
        </row>
        <row r="56">
          <cell r="B56" t="str">
            <v>NYATI ERA IV</v>
          </cell>
          <cell r="K56">
            <v>1153</v>
          </cell>
          <cell r="L56">
            <v>7833600</v>
          </cell>
        </row>
        <row r="57">
          <cell r="B57" t="str">
            <v>NYATI ENTHRAL I</v>
          </cell>
          <cell r="K57">
            <v>10675</v>
          </cell>
          <cell r="L57">
            <v>83000000</v>
          </cell>
        </row>
        <row r="58">
          <cell r="B58" t="str">
            <v>NYATI ENTHRAL I</v>
          </cell>
          <cell r="K58">
            <v>14310</v>
          </cell>
          <cell r="L58">
            <v>93015000</v>
          </cell>
        </row>
        <row r="59">
          <cell r="B59" t="str">
            <v>NYATI ESTEBAN II</v>
          </cell>
          <cell r="K59">
            <v>1699</v>
          </cell>
          <cell r="L59">
            <v>9945402</v>
          </cell>
        </row>
        <row r="60">
          <cell r="B60" t="str">
            <v>NYATI ESTEBAN II</v>
          </cell>
          <cell r="K60">
            <v>1699</v>
          </cell>
          <cell r="L60">
            <v>10092060</v>
          </cell>
        </row>
        <row r="61">
          <cell r="B61" t="str">
            <v>NYATI ESTEBAN II</v>
          </cell>
          <cell r="K61">
            <v>1699</v>
          </cell>
          <cell r="L61">
            <v>10047886</v>
          </cell>
        </row>
        <row r="62">
          <cell r="B62" t="str">
            <v>NYATI ESTEBAN II</v>
          </cell>
          <cell r="K62">
            <v>1172</v>
          </cell>
          <cell r="L62">
            <v>6824127</v>
          </cell>
        </row>
        <row r="63">
          <cell r="B63" t="str">
            <v>NYATI ESTEBAN II</v>
          </cell>
          <cell r="K63">
            <v>1172</v>
          </cell>
          <cell r="L63">
            <v>6877299</v>
          </cell>
        </row>
        <row r="64">
          <cell r="B64" t="str">
            <v>NYATI ESTEBAN II</v>
          </cell>
          <cell r="K64">
            <v>1172</v>
          </cell>
          <cell r="L64">
            <v>6824127</v>
          </cell>
        </row>
        <row r="65">
          <cell r="B65" t="str">
            <v>NYATI ESTEBAN II</v>
          </cell>
          <cell r="K65">
            <v>1172</v>
          </cell>
          <cell r="L65">
            <v>6985215</v>
          </cell>
        </row>
        <row r="66">
          <cell r="B66" t="str">
            <v>NYATI ESTEBAN II</v>
          </cell>
          <cell r="K66">
            <v>1699</v>
          </cell>
          <cell r="L66">
            <v>9957839</v>
          </cell>
        </row>
        <row r="67">
          <cell r="B67" t="str">
            <v>NYATI ESTEBAN II</v>
          </cell>
          <cell r="K67">
            <v>1172</v>
          </cell>
          <cell r="L67">
            <v>6921873</v>
          </cell>
        </row>
        <row r="68">
          <cell r="B68" t="str">
            <v>NYATI ESTEBAN II</v>
          </cell>
          <cell r="K68">
            <v>1699</v>
          </cell>
          <cell r="L68">
            <v>9913665</v>
          </cell>
        </row>
        <row r="69">
          <cell r="B69" t="str">
            <v>NYATI EMPRESS</v>
          </cell>
          <cell r="K69">
            <v>561</v>
          </cell>
          <cell r="L69">
            <v>5582000</v>
          </cell>
        </row>
        <row r="70">
          <cell r="B70" t="str">
            <v>NYATI EMPRESS</v>
          </cell>
          <cell r="K70">
            <v>2574</v>
          </cell>
          <cell r="L70">
            <v>20735000</v>
          </cell>
        </row>
      </sheetData>
      <sheetData sheetId="6">
        <row r="1">
          <cell r="A1" t="str">
            <v>ProjectName</v>
          </cell>
          <cell r="F1" t="str">
            <v>TotalArea</v>
          </cell>
          <cell r="G1" t="str">
            <v>Agg_Value</v>
          </cell>
        </row>
        <row r="2">
          <cell r="A2" t="str">
            <v xml:space="preserve">NYATI ESTEBAN II                                  </v>
          </cell>
          <cell r="F2">
            <v>1699</v>
          </cell>
          <cell r="G2">
            <v>10136234</v>
          </cell>
        </row>
        <row r="3">
          <cell r="A3" t="str">
            <v xml:space="preserve">NYATI EXUBERANCE IV                               </v>
          </cell>
          <cell r="F3">
            <v>985</v>
          </cell>
          <cell r="G3">
            <v>5417500</v>
          </cell>
        </row>
        <row r="4">
          <cell r="A4" t="str">
            <v xml:space="preserve">NYATI EMERALD III                                 </v>
          </cell>
          <cell r="F4">
            <v>1698</v>
          </cell>
          <cell r="G4">
            <v>13256250</v>
          </cell>
        </row>
        <row r="5">
          <cell r="A5" t="str">
            <v xml:space="preserve">NYATI EQUINOX I                                   </v>
          </cell>
          <cell r="F5">
            <v>1152</v>
          </cell>
          <cell r="G5">
            <v>9158400</v>
          </cell>
        </row>
        <row r="6">
          <cell r="A6" t="str">
            <v xml:space="preserve">NYATI EXUBERANCE IV                               </v>
          </cell>
          <cell r="F6">
            <v>985</v>
          </cell>
          <cell r="G6">
            <v>5516000</v>
          </cell>
        </row>
        <row r="7">
          <cell r="A7" t="str">
            <v>NYATI PLAZA</v>
          </cell>
          <cell r="F7">
            <v>527</v>
          </cell>
          <cell r="G7">
            <v>6900000</v>
          </cell>
        </row>
        <row r="8">
          <cell r="A8" t="str">
            <v xml:space="preserve">NYATI EVOQUE                                      </v>
          </cell>
          <cell r="F8">
            <v>2126</v>
          </cell>
          <cell r="G8">
            <v>26396416</v>
          </cell>
        </row>
        <row r="9">
          <cell r="A9" t="str">
            <v xml:space="preserve">NYATI EQUINOX I                                   </v>
          </cell>
          <cell r="F9">
            <v>1698</v>
          </cell>
          <cell r="G9">
            <v>13795401</v>
          </cell>
        </row>
        <row r="10">
          <cell r="A10" t="str">
            <v xml:space="preserve">NYATI EMPRESS                                     </v>
          </cell>
          <cell r="F10">
            <v>2574</v>
          </cell>
          <cell r="G10">
            <v>19300000</v>
          </cell>
        </row>
        <row r="11">
          <cell r="A11" t="str">
            <v xml:space="preserve">NYATI ERA IV                                      </v>
          </cell>
          <cell r="F11">
            <v>1376</v>
          </cell>
          <cell r="G11">
            <v>9380357</v>
          </cell>
        </row>
        <row r="12">
          <cell r="A12" t="str">
            <v xml:space="preserve">NYATI ENTHRAL I                                   </v>
          </cell>
          <cell r="F12">
            <v>14310</v>
          </cell>
          <cell r="G12">
            <v>85956000</v>
          </cell>
        </row>
        <row r="13">
          <cell r="A13" t="str">
            <v xml:space="preserve">NYATI ENTHRAL I                                   </v>
          </cell>
          <cell r="F13">
            <v>1502</v>
          </cell>
          <cell r="G13">
            <v>9500000</v>
          </cell>
        </row>
      </sheetData>
      <sheetData sheetId="7">
        <row r="1">
          <cell r="A1" t="str">
            <v>Project_Name</v>
          </cell>
          <cell r="J1" t="str">
            <v>Collection For Period</v>
          </cell>
        </row>
        <row r="2">
          <cell r="A2" t="str">
            <v>NIVAAN MEADOWS</v>
          </cell>
          <cell r="J2">
            <v>0</v>
          </cell>
        </row>
        <row r="3">
          <cell r="A3" t="str">
            <v>NYATI CORPORATE OFFICE</v>
          </cell>
          <cell r="J3">
            <v>0</v>
          </cell>
        </row>
        <row r="4">
          <cell r="A4" t="str">
            <v>NYATI CORPORATE OFFICE</v>
          </cell>
          <cell r="J4">
            <v>0</v>
          </cell>
        </row>
        <row r="5">
          <cell r="A5" t="str">
            <v>NYATI DEFENCE ENCLAVE I</v>
          </cell>
          <cell r="J5">
            <v>0</v>
          </cell>
        </row>
        <row r="6">
          <cell r="A6" t="str">
            <v>NYATI DEFENCE ENCLAVE I</v>
          </cell>
          <cell r="J6">
            <v>0</v>
          </cell>
        </row>
        <row r="7">
          <cell r="A7" t="str">
            <v>NYATI DEFENCE ENCLAVE II</v>
          </cell>
          <cell r="J7">
            <v>0</v>
          </cell>
        </row>
        <row r="8">
          <cell r="A8" t="str">
            <v>NYATI DEFENCE ENCLAVE II</v>
          </cell>
          <cell r="J8">
            <v>0</v>
          </cell>
        </row>
        <row r="9">
          <cell r="A9" t="str">
            <v>NYATI DEFENCE ENCLAVE III</v>
          </cell>
          <cell r="J9">
            <v>0</v>
          </cell>
        </row>
        <row r="10">
          <cell r="A10" t="str">
            <v>NYATI DEFENCE ENCLAVE III</v>
          </cell>
          <cell r="J10">
            <v>1.61</v>
          </cell>
        </row>
        <row r="11">
          <cell r="A11" t="str">
            <v>NYATI DEFENCE ENCLAVE III</v>
          </cell>
          <cell r="J11">
            <v>0</v>
          </cell>
        </row>
        <row r="12">
          <cell r="A12" t="str">
            <v>Nyati Demo Project - 1</v>
          </cell>
          <cell r="J12">
            <v>0</v>
          </cell>
        </row>
        <row r="13">
          <cell r="A13" t="str">
            <v>NYATI ELAN (N - SE)</v>
          </cell>
          <cell r="J13">
            <v>0</v>
          </cell>
        </row>
        <row r="14">
          <cell r="A14" t="str">
            <v>NYATI ELAN (N - SE)</v>
          </cell>
          <cell r="J14">
            <v>0</v>
          </cell>
        </row>
        <row r="15">
          <cell r="A15" t="str">
            <v>NYATI ELAN (N - SE)</v>
          </cell>
          <cell r="J15">
            <v>0</v>
          </cell>
        </row>
        <row r="16">
          <cell r="A16" t="str">
            <v>NYATI ELAN (N - SE)</v>
          </cell>
          <cell r="J16">
            <v>0</v>
          </cell>
        </row>
        <row r="17">
          <cell r="A17" t="str">
            <v>NYATI ELAN (N - SE)</v>
          </cell>
          <cell r="J17">
            <v>0</v>
          </cell>
        </row>
        <row r="18">
          <cell r="A18" t="str">
            <v>NYATI ELAN (N - SE)</v>
          </cell>
          <cell r="J18">
            <v>0</v>
          </cell>
        </row>
        <row r="19">
          <cell r="A19" t="str">
            <v>NYATI ELAN (N - SE)</v>
          </cell>
          <cell r="J19">
            <v>0</v>
          </cell>
        </row>
        <row r="20">
          <cell r="A20" t="str">
            <v>NYATI ELAN (N - SE)</v>
          </cell>
          <cell r="J20">
            <v>0</v>
          </cell>
        </row>
        <row r="21">
          <cell r="A21" t="str">
            <v>NYATI ELAN (N - SE)</v>
          </cell>
          <cell r="J21">
            <v>0</v>
          </cell>
        </row>
        <row r="22">
          <cell r="A22" t="str">
            <v>NYATI ELAN (N - SE)</v>
          </cell>
          <cell r="J22">
            <v>0</v>
          </cell>
        </row>
        <row r="23">
          <cell r="A23" t="str">
            <v>NYATI ELAN (N - SE)</v>
          </cell>
          <cell r="J23">
            <v>0</v>
          </cell>
        </row>
        <row r="24">
          <cell r="A24" t="str">
            <v>NYATI ELAN (WEST)</v>
          </cell>
          <cell r="J24">
            <v>0</v>
          </cell>
        </row>
        <row r="25">
          <cell r="A25" t="str">
            <v>NYATI ELAN (WEST)</v>
          </cell>
          <cell r="J25">
            <v>0</v>
          </cell>
        </row>
        <row r="26">
          <cell r="A26" t="str">
            <v>NYATI ELAN (WEST)</v>
          </cell>
          <cell r="J26">
            <v>0</v>
          </cell>
        </row>
        <row r="27">
          <cell r="A27" t="str">
            <v>NYATI ELAN (WEST)</v>
          </cell>
          <cell r="J27">
            <v>0</v>
          </cell>
        </row>
        <row r="28">
          <cell r="A28" t="str">
            <v>NYATI ELAN CENTRAL I</v>
          </cell>
          <cell r="J28">
            <v>0</v>
          </cell>
        </row>
        <row r="29">
          <cell r="A29" t="str">
            <v>NYATI ELAN CENTRAL I</v>
          </cell>
          <cell r="J29">
            <v>0</v>
          </cell>
        </row>
        <row r="30">
          <cell r="A30" t="str">
            <v>NYATI ELAN CENTRAL II</v>
          </cell>
          <cell r="J30">
            <v>0</v>
          </cell>
        </row>
        <row r="31">
          <cell r="A31" t="str">
            <v>NYATI ELAN CENTRAL II</v>
          </cell>
          <cell r="J31">
            <v>0</v>
          </cell>
        </row>
        <row r="32">
          <cell r="A32" t="str">
            <v>NYATI ELAN CENTRAL II</v>
          </cell>
          <cell r="J32">
            <v>0</v>
          </cell>
        </row>
        <row r="33">
          <cell r="A33" t="str">
            <v>NYATI ELAN CENTRAL II</v>
          </cell>
          <cell r="J33">
            <v>0</v>
          </cell>
        </row>
        <row r="34">
          <cell r="A34" t="str">
            <v>NYATI ELAN CENTRAL II</v>
          </cell>
          <cell r="J34">
            <v>0</v>
          </cell>
        </row>
        <row r="35">
          <cell r="A35" t="str">
            <v>NYATI ELAN CENTRAL II</v>
          </cell>
          <cell r="J35">
            <v>0</v>
          </cell>
        </row>
        <row r="36">
          <cell r="A36" t="str">
            <v>NYATI ELAN CENTRAL III</v>
          </cell>
          <cell r="J36">
            <v>0</v>
          </cell>
        </row>
        <row r="37">
          <cell r="A37" t="str">
            <v>NYATI ELAN CENTRAL III</v>
          </cell>
          <cell r="J37">
            <v>0</v>
          </cell>
        </row>
        <row r="38">
          <cell r="A38" t="str">
            <v>NYATI ELAN COMMERCIAL</v>
          </cell>
          <cell r="J38">
            <v>0</v>
          </cell>
        </row>
        <row r="39">
          <cell r="A39" t="str">
            <v>NYATI ELAN COMMERCIAL</v>
          </cell>
          <cell r="J39">
            <v>0</v>
          </cell>
        </row>
        <row r="40">
          <cell r="A40" t="str">
            <v>NYATI ELAN SOUTH EAST I</v>
          </cell>
          <cell r="J40">
            <v>0</v>
          </cell>
        </row>
        <row r="41">
          <cell r="A41" t="str">
            <v>NYATI ELAN SOUTH EAST I</v>
          </cell>
          <cell r="J41">
            <v>0</v>
          </cell>
        </row>
        <row r="42">
          <cell r="A42" t="str">
            <v>NYATI ELAN SOUTH I</v>
          </cell>
          <cell r="J42">
            <v>0</v>
          </cell>
        </row>
        <row r="43">
          <cell r="A43" t="str">
            <v>NYATI ELAN SOUTH I</v>
          </cell>
          <cell r="J43">
            <v>0</v>
          </cell>
        </row>
        <row r="44">
          <cell r="A44" t="str">
            <v>NYATI ELAN SOUTH I</v>
          </cell>
          <cell r="J44">
            <v>0</v>
          </cell>
        </row>
        <row r="45">
          <cell r="A45" t="str">
            <v>NYATI ELAN SOUTH I</v>
          </cell>
          <cell r="J45">
            <v>0</v>
          </cell>
        </row>
        <row r="46">
          <cell r="A46" t="str">
            <v>NYATI ELAN SOUTH II</v>
          </cell>
          <cell r="J46">
            <v>0</v>
          </cell>
        </row>
        <row r="47">
          <cell r="A47" t="str">
            <v>NYATI ELAN SOUTH II</v>
          </cell>
          <cell r="J47">
            <v>0</v>
          </cell>
        </row>
        <row r="48">
          <cell r="A48" t="str">
            <v>NYATI ELAN SOUTH II</v>
          </cell>
          <cell r="J48">
            <v>0</v>
          </cell>
        </row>
        <row r="49">
          <cell r="A49" t="str">
            <v>NYATI ELAN SOUTH II</v>
          </cell>
          <cell r="J49">
            <v>0</v>
          </cell>
        </row>
        <row r="50">
          <cell r="A50" t="str">
            <v>NYATI ELAN WEST II</v>
          </cell>
          <cell r="J50">
            <v>0</v>
          </cell>
        </row>
        <row r="51">
          <cell r="A51" t="str">
            <v>NYATI ELAN WEST II</v>
          </cell>
          <cell r="J51">
            <v>0</v>
          </cell>
        </row>
        <row r="52">
          <cell r="A52" t="str">
            <v>NYATI ELAN WEST III</v>
          </cell>
          <cell r="J52">
            <v>0</v>
          </cell>
        </row>
        <row r="53">
          <cell r="A53" t="str">
            <v>NYATI ELAN WEST III</v>
          </cell>
          <cell r="J53">
            <v>0</v>
          </cell>
        </row>
        <row r="54">
          <cell r="A54" t="str">
            <v>NYATI ELAN-III</v>
          </cell>
          <cell r="J54">
            <v>0</v>
          </cell>
        </row>
        <row r="55">
          <cell r="A55" t="str">
            <v>NYATI ELAN-III</v>
          </cell>
          <cell r="J55">
            <v>0</v>
          </cell>
        </row>
        <row r="56">
          <cell r="A56" t="str">
            <v>NYATI ELENOR</v>
          </cell>
          <cell r="J56">
            <v>474.97</v>
          </cell>
        </row>
        <row r="57">
          <cell r="A57" t="str">
            <v>NYATI ELENOR</v>
          </cell>
          <cell r="J57">
            <v>15</v>
          </cell>
        </row>
        <row r="58">
          <cell r="A58" t="str">
            <v>NYATI ELENOR</v>
          </cell>
          <cell r="J58">
            <v>500.97</v>
          </cell>
        </row>
        <row r="59">
          <cell r="A59" t="str">
            <v>NYATI ELITE</v>
          </cell>
          <cell r="J59">
            <v>0</v>
          </cell>
        </row>
        <row r="60">
          <cell r="A60" t="str">
            <v>NYATI ELITE</v>
          </cell>
          <cell r="J60">
            <v>0</v>
          </cell>
        </row>
        <row r="61">
          <cell r="A61" t="str">
            <v>NYATI ELITE</v>
          </cell>
          <cell r="J61">
            <v>0</v>
          </cell>
        </row>
        <row r="62">
          <cell r="A62" t="str">
            <v>NYATI ELITE</v>
          </cell>
          <cell r="J62">
            <v>0</v>
          </cell>
        </row>
        <row r="63">
          <cell r="A63" t="str">
            <v>NYATI ELITE</v>
          </cell>
          <cell r="J63">
            <v>0</v>
          </cell>
        </row>
        <row r="64">
          <cell r="A64" t="str">
            <v>NYATI ELITE</v>
          </cell>
          <cell r="J64">
            <v>0</v>
          </cell>
        </row>
        <row r="65">
          <cell r="A65" t="str">
            <v>NYATI ELITE</v>
          </cell>
          <cell r="J65">
            <v>0</v>
          </cell>
        </row>
        <row r="66">
          <cell r="A66" t="str">
            <v>NYATI ELYSIA I</v>
          </cell>
          <cell r="J66">
            <v>0</v>
          </cell>
        </row>
        <row r="67">
          <cell r="A67" t="str">
            <v>NYATI ELYSIA I</v>
          </cell>
          <cell r="J67">
            <v>0</v>
          </cell>
        </row>
        <row r="68">
          <cell r="A68" t="str">
            <v>NYATI ELYSIA I</v>
          </cell>
          <cell r="J68">
            <v>0</v>
          </cell>
        </row>
        <row r="69">
          <cell r="A69" t="str">
            <v>NYATI ELYSIA I</v>
          </cell>
          <cell r="J69">
            <v>0</v>
          </cell>
        </row>
        <row r="70">
          <cell r="A70" t="str">
            <v>NYATI ELYSIA II</v>
          </cell>
          <cell r="J70">
            <v>0</v>
          </cell>
        </row>
        <row r="71">
          <cell r="A71" t="str">
            <v>NYATI ELYSIA III</v>
          </cell>
          <cell r="J71">
            <v>0</v>
          </cell>
        </row>
        <row r="72">
          <cell r="A72" t="str">
            <v>NYATI ELYSIA IV</v>
          </cell>
          <cell r="J72">
            <v>0</v>
          </cell>
        </row>
        <row r="73">
          <cell r="A73" t="str">
            <v>NYATI ELYSIA IV</v>
          </cell>
          <cell r="J73">
            <v>0</v>
          </cell>
        </row>
        <row r="74">
          <cell r="A74" t="str">
            <v>NYATI ELYSIA V</v>
          </cell>
          <cell r="J74">
            <v>0</v>
          </cell>
        </row>
        <row r="75">
          <cell r="A75" t="str">
            <v>NYATI EMBLEM</v>
          </cell>
          <cell r="J75">
            <v>0</v>
          </cell>
        </row>
        <row r="76">
          <cell r="A76" t="str">
            <v>NYATI EMBLEM</v>
          </cell>
          <cell r="J76">
            <v>107.73</v>
          </cell>
        </row>
        <row r="77">
          <cell r="A77" t="str">
            <v>NYATI EMERALD I</v>
          </cell>
          <cell r="J77">
            <v>30.13</v>
          </cell>
        </row>
        <row r="78">
          <cell r="A78" t="str">
            <v>NYATI EMERALD I</v>
          </cell>
          <cell r="J78">
            <v>59.56</v>
          </cell>
        </row>
        <row r="79">
          <cell r="A79" t="str">
            <v>NYATI EMERALD I</v>
          </cell>
          <cell r="J79">
            <v>6.99</v>
          </cell>
        </row>
        <row r="80">
          <cell r="A80" t="str">
            <v>NYATI EMERALD I</v>
          </cell>
          <cell r="J80">
            <v>1.5</v>
          </cell>
        </row>
        <row r="81">
          <cell r="A81" t="str">
            <v>NYATI EMERALD I</v>
          </cell>
          <cell r="J81">
            <v>111.65</v>
          </cell>
        </row>
        <row r="82">
          <cell r="A82" t="str">
            <v>NYATI EMERALD I</v>
          </cell>
          <cell r="J82">
            <v>0</v>
          </cell>
        </row>
        <row r="83">
          <cell r="A83" t="str">
            <v>NYATI EMERALD I</v>
          </cell>
          <cell r="J83">
            <v>126.77</v>
          </cell>
        </row>
        <row r="84">
          <cell r="A84" t="str">
            <v>NYATI EMERALD I</v>
          </cell>
          <cell r="J84">
            <v>50.07</v>
          </cell>
        </row>
        <row r="85">
          <cell r="A85" t="str">
            <v>NYATI EMERALD II</v>
          </cell>
          <cell r="J85">
            <v>166.58</v>
          </cell>
        </row>
        <row r="86">
          <cell r="A86" t="str">
            <v>NYATI EMERALD II</v>
          </cell>
          <cell r="J86">
            <v>26</v>
          </cell>
        </row>
        <row r="87">
          <cell r="A87" t="str">
            <v>NYATI EMERALD III</v>
          </cell>
          <cell r="J87">
            <v>19.02</v>
          </cell>
        </row>
        <row r="88">
          <cell r="A88" t="str">
            <v>NYATI EMERALD III</v>
          </cell>
          <cell r="J88">
            <v>215.23</v>
          </cell>
        </row>
        <row r="89">
          <cell r="A89" t="str">
            <v>NYATI EMERALD III</v>
          </cell>
          <cell r="J89">
            <v>365.03</v>
          </cell>
        </row>
        <row r="90">
          <cell r="A90" t="str">
            <v>NYATI EMERALD III</v>
          </cell>
          <cell r="J90">
            <v>2</v>
          </cell>
        </row>
        <row r="91">
          <cell r="A91" t="str">
            <v>NYATI EMERALD III</v>
          </cell>
          <cell r="J91">
            <v>156.63999999999999</v>
          </cell>
        </row>
        <row r="92">
          <cell r="A92" t="str">
            <v>NYATI EMPORIUS</v>
          </cell>
          <cell r="J92">
            <v>0</v>
          </cell>
        </row>
        <row r="93">
          <cell r="A93" t="str">
            <v>NYATI EMPRESS</v>
          </cell>
          <cell r="J93">
            <v>318.77999999999997</v>
          </cell>
        </row>
        <row r="94">
          <cell r="A94" t="str">
            <v>NYATI EMPRESS</v>
          </cell>
          <cell r="J94">
            <v>0</v>
          </cell>
        </row>
        <row r="95">
          <cell r="A95" t="str">
            <v>NYATI ENCHANTE I</v>
          </cell>
          <cell r="J95">
            <v>0</v>
          </cell>
        </row>
        <row r="96">
          <cell r="A96" t="str">
            <v>NYATI ENCHANTE-II</v>
          </cell>
          <cell r="J96">
            <v>0</v>
          </cell>
        </row>
        <row r="97">
          <cell r="A97" t="str">
            <v>NYATI ENCHANTE-III</v>
          </cell>
          <cell r="J97">
            <v>0</v>
          </cell>
        </row>
        <row r="98">
          <cell r="A98" t="str">
            <v>NYATI ENTHRAL I</v>
          </cell>
          <cell r="J98">
            <v>1169</v>
          </cell>
        </row>
        <row r="99">
          <cell r="A99" t="str">
            <v>NYATI EPITOME</v>
          </cell>
          <cell r="J99">
            <v>0</v>
          </cell>
        </row>
        <row r="100">
          <cell r="A100" t="str">
            <v>NYATI EPITOME</v>
          </cell>
          <cell r="J100">
            <v>0</v>
          </cell>
        </row>
        <row r="101">
          <cell r="A101" t="str">
            <v>NYATI EQUATORIAL</v>
          </cell>
          <cell r="J101">
            <v>0</v>
          </cell>
        </row>
        <row r="102">
          <cell r="A102" t="str">
            <v>NYATI EQUATORIAL</v>
          </cell>
          <cell r="J102">
            <v>0</v>
          </cell>
        </row>
        <row r="103">
          <cell r="A103" t="str">
            <v>NYATI EQUATORIAL</v>
          </cell>
          <cell r="J103">
            <v>0</v>
          </cell>
        </row>
        <row r="104">
          <cell r="A104" t="str">
            <v>NYATI EQUATORIAL</v>
          </cell>
          <cell r="J104">
            <v>0</v>
          </cell>
        </row>
        <row r="105">
          <cell r="A105" t="str">
            <v>NYATI EQUATORIAL</v>
          </cell>
          <cell r="J105">
            <v>0</v>
          </cell>
        </row>
        <row r="106">
          <cell r="A106" t="str">
            <v>NYATI EQUATORIAL</v>
          </cell>
          <cell r="J106">
            <v>0</v>
          </cell>
        </row>
        <row r="107">
          <cell r="A107" t="str">
            <v>NYATI EQUATORIAL- II</v>
          </cell>
          <cell r="J107">
            <v>0</v>
          </cell>
        </row>
        <row r="108">
          <cell r="A108" t="str">
            <v>NYATI EQUATORIAL- II</v>
          </cell>
          <cell r="J108">
            <v>0</v>
          </cell>
        </row>
        <row r="109">
          <cell r="A109" t="str">
            <v>NYATI EQUATORIAL- II</v>
          </cell>
          <cell r="J109">
            <v>0</v>
          </cell>
        </row>
        <row r="110">
          <cell r="A110" t="str">
            <v>NYATI EQUATORIAL- II</v>
          </cell>
          <cell r="J110">
            <v>0</v>
          </cell>
        </row>
        <row r="111">
          <cell r="A111" t="str">
            <v>NYATI EQUATORIAL- II</v>
          </cell>
          <cell r="J111">
            <v>0</v>
          </cell>
        </row>
        <row r="112">
          <cell r="A112" t="str">
            <v>NYATI EQUATORIAL- II</v>
          </cell>
          <cell r="J112">
            <v>0</v>
          </cell>
        </row>
        <row r="113">
          <cell r="A113" t="str">
            <v>NYATI EQUINOX I</v>
          </cell>
          <cell r="J113">
            <v>80.14</v>
          </cell>
        </row>
        <row r="114">
          <cell r="A114" t="str">
            <v>NYATI EQUINOX I</v>
          </cell>
          <cell r="J114">
            <v>121.57</v>
          </cell>
        </row>
        <row r="115">
          <cell r="A115" t="str">
            <v>NYATI EQUINOX I</v>
          </cell>
          <cell r="J115">
            <v>51.17</v>
          </cell>
        </row>
        <row r="116">
          <cell r="A116" t="str">
            <v>NYATI EQUINOX I</v>
          </cell>
          <cell r="J116">
            <v>219.92</v>
          </cell>
        </row>
        <row r="117">
          <cell r="A117" t="str">
            <v>NYATI EQUINOX I</v>
          </cell>
          <cell r="J117">
            <v>134.75</v>
          </cell>
        </row>
        <row r="118">
          <cell r="A118" t="str">
            <v>NYATI EQUINOX I</v>
          </cell>
          <cell r="J118">
            <v>71.08</v>
          </cell>
        </row>
        <row r="119">
          <cell r="A119" t="str">
            <v>NYATI EQUINOX I</v>
          </cell>
          <cell r="J119">
            <v>23.21</v>
          </cell>
        </row>
        <row r="120">
          <cell r="A120" t="str">
            <v>NYATI EQUINOX I</v>
          </cell>
          <cell r="J120">
            <v>40.35</v>
          </cell>
        </row>
        <row r="121">
          <cell r="A121" t="str">
            <v>NYATI EQUINOX I</v>
          </cell>
          <cell r="J121">
            <v>84.64</v>
          </cell>
        </row>
        <row r="122">
          <cell r="A122" t="str">
            <v>NYATI EQUINOX I</v>
          </cell>
          <cell r="J122">
            <v>102.51</v>
          </cell>
        </row>
        <row r="123">
          <cell r="A123" t="str">
            <v>NYATI EQUINOX I</v>
          </cell>
          <cell r="J123">
            <v>155.25</v>
          </cell>
        </row>
        <row r="124">
          <cell r="A124" t="str">
            <v>NYATI EQUINOX I</v>
          </cell>
          <cell r="J124">
            <v>121.95</v>
          </cell>
        </row>
        <row r="125">
          <cell r="A125" t="str">
            <v>NYATI EQUINOX I</v>
          </cell>
          <cell r="J125">
            <v>84.74</v>
          </cell>
        </row>
        <row r="126">
          <cell r="A126" t="str">
            <v>NYATI EQUINOX II</v>
          </cell>
          <cell r="J126">
            <v>6.49</v>
          </cell>
        </row>
        <row r="127">
          <cell r="A127" t="str">
            <v>NYATI EQUINOX II</v>
          </cell>
          <cell r="J127">
            <v>83.9</v>
          </cell>
        </row>
        <row r="128">
          <cell r="A128" t="str">
            <v>NYATI ERA I</v>
          </cell>
          <cell r="J128">
            <v>0</v>
          </cell>
        </row>
        <row r="129">
          <cell r="A129" t="str">
            <v>NYATI ERA I</v>
          </cell>
          <cell r="J129">
            <v>0</v>
          </cell>
        </row>
        <row r="130">
          <cell r="A130" t="str">
            <v>NYATI ERA I</v>
          </cell>
          <cell r="J130">
            <v>0</v>
          </cell>
        </row>
        <row r="131">
          <cell r="A131" t="str">
            <v>NYATI ERA I</v>
          </cell>
          <cell r="J131">
            <v>0</v>
          </cell>
        </row>
        <row r="132">
          <cell r="A132" t="str">
            <v>NYATI ERA I</v>
          </cell>
          <cell r="J132">
            <v>0</v>
          </cell>
        </row>
        <row r="133">
          <cell r="A133" t="str">
            <v>NYATI ERA I</v>
          </cell>
          <cell r="J133">
            <v>0</v>
          </cell>
        </row>
        <row r="134">
          <cell r="A134" t="str">
            <v>NYATI ERA I</v>
          </cell>
          <cell r="J134">
            <v>0</v>
          </cell>
        </row>
        <row r="135">
          <cell r="A135" t="str">
            <v>NYATI ERA II</v>
          </cell>
          <cell r="J135">
            <v>1</v>
          </cell>
        </row>
        <row r="136">
          <cell r="A136" t="str">
            <v>NYATI ERA II</v>
          </cell>
          <cell r="J136">
            <v>20</v>
          </cell>
        </row>
        <row r="137">
          <cell r="A137" t="str">
            <v>NYATI ERA II</v>
          </cell>
          <cell r="J137">
            <v>545.47</v>
          </cell>
        </row>
        <row r="138">
          <cell r="A138" t="str">
            <v>NYATI ERA III</v>
          </cell>
          <cell r="J138">
            <v>167.19</v>
          </cell>
        </row>
        <row r="139">
          <cell r="A139" t="str">
            <v>NYATI ERA III</v>
          </cell>
          <cell r="J139">
            <v>0</v>
          </cell>
        </row>
        <row r="140">
          <cell r="A140" t="str">
            <v>NYATI ERA III</v>
          </cell>
          <cell r="J140">
            <v>259.67</v>
          </cell>
        </row>
        <row r="141">
          <cell r="A141" t="str">
            <v>NYATI ERA III</v>
          </cell>
          <cell r="J141">
            <v>183.61</v>
          </cell>
        </row>
        <row r="142">
          <cell r="A142" t="str">
            <v>NYATI ERA III</v>
          </cell>
          <cell r="J142">
            <v>0</v>
          </cell>
        </row>
        <row r="143">
          <cell r="A143" t="str">
            <v>NYATI ERA IV</v>
          </cell>
          <cell r="J143">
            <v>61.92</v>
          </cell>
        </row>
        <row r="144">
          <cell r="A144" t="str">
            <v>NYATI ERA IV</v>
          </cell>
          <cell r="J144">
            <v>1.51</v>
          </cell>
        </row>
        <row r="145">
          <cell r="A145" t="str">
            <v>NYATI ERA IV</v>
          </cell>
          <cell r="J145">
            <v>22.34</v>
          </cell>
        </row>
        <row r="146">
          <cell r="A146" t="str">
            <v>NYATI ERICA</v>
          </cell>
          <cell r="J146">
            <v>0</v>
          </cell>
        </row>
        <row r="147">
          <cell r="A147" t="str">
            <v>NYATI ERICA</v>
          </cell>
          <cell r="J147">
            <v>0</v>
          </cell>
        </row>
        <row r="148">
          <cell r="A148" t="str">
            <v>NYATI ESTEBAN II</v>
          </cell>
          <cell r="J148">
            <v>51.27</v>
          </cell>
        </row>
        <row r="149">
          <cell r="A149" t="str">
            <v>NYATI ESTEBAN II</v>
          </cell>
          <cell r="J149">
            <v>71.599999999999994</v>
          </cell>
        </row>
        <row r="150">
          <cell r="A150" t="str">
            <v>NYATI ESTEBAN II</v>
          </cell>
          <cell r="J150">
            <v>48.75</v>
          </cell>
        </row>
        <row r="151">
          <cell r="A151" t="str">
            <v>NYATI ESTEBAN II</v>
          </cell>
          <cell r="J151">
            <v>107.88</v>
          </cell>
        </row>
        <row r="152">
          <cell r="A152" t="str">
            <v>NYATI ESTEBAN II</v>
          </cell>
          <cell r="J152">
            <v>346.11</v>
          </cell>
        </row>
        <row r="153">
          <cell r="A153" t="str">
            <v>NYATI ESTEBAN-I</v>
          </cell>
          <cell r="J153">
            <v>0</v>
          </cell>
        </row>
        <row r="154">
          <cell r="A154" t="str">
            <v>NYATI ESTEBAN-I</v>
          </cell>
          <cell r="J154">
            <v>0</v>
          </cell>
        </row>
        <row r="155">
          <cell r="A155" t="str">
            <v>NYATI ESTEBAN-I</v>
          </cell>
          <cell r="J155">
            <v>0</v>
          </cell>
        </row>
        <row r="156">
          <cell r="A156" t="str">
            <v>NYATI ESTEBAN-I</v>
          </cell>
          <cell r="J156">
            <v>0</v>
          </cell>
        </row>
        <row r="157">
          <cell r="A157" t="str">
            <v>NYATI ESTEBAN-I</v>
          </cell>
          <cell r="J157">
            <v>0</v>
          </cell>
        </row>
        <row r="158">
          <cell r="A158" t="str">
            <v>NYATI ESTEBAN-I</v>
          </cell>
          <cell r="J158">
            <v>0</v>
          </cell>
        </row>
        <row r="159">
          <cell r="A159" t="str">
            <v>NYATI ESTEBAN-I</v>
          </cell>
          <cell r="J159">
            <v>0</v>
          </cell>
        </row>
        <row r="160">
          <cell r="A160" t="str">
            <v>NYATI ETERNITY PH - IV</v>
          </cell>
          <cell r="J160">
            <v>0</v>
          </cell>
        </row>
        <row r="161">
          <cell r="A161" t="str">
            <v>NYATI ETERNITY PH - IV</v>
          </cell>
          <cell r="J161">
            <v>0</v>
          </cell>
        </row>
        <row r="162">
          <cell r="A162" t="str">
            <v>NYATI ETERNITY COMMERCIAL - I</v>
          </cell>
          <cell r="J162">
            <v>0</v>
          </cell>
        </row>
        <row r="163">
          <cell r="A163" t="str">
            <v>NYATI ETERNITY COMMERCIAL - I</v>
          </cell>
          <cell r="J163">
            <v>0</v>
          </cell>
        </row>
        <row r="164">
          <cell r="A164" t="str">
            <v>NYATI ETERNITY COMMERCIAL-II</v>
          </cell>
          <cell r="J164">
            <v>0</v>
          </cell>
        </row>
        <row r="165">
          <cell r="A165" t="str">
            <v>NYATI ETERNITY COMMERCIAL-II</v>
          </cell>
          <cell r="J165">
            <v>0</v>
          </cell>
        </row>
        <row r="166">
          <cell r="A166" t="str">
            <v>NYATI ETERNITY Ph-I</v>
          </cell>
          <cell r="J166">
            <v>0</v>
          </cell>
        </row>
        <row r="167">
          <cell r="A167" t="str">
            <v>NYATI ETERNITY Ph-I</v>
          </cell>
          <cell r="J167">
            <v>0</v>
          </cell>
        </row>
        <row r="168">
          <cell r="A168" t="str">
            <v>NYATI ETERNITY Ph-I</v>
          </cell>
          <cell r="J168">
            <v>0</v>
          </cell>
        </row>
        <row r="169">
          <cell r="A169" t="str">
            <v>NYATI ETERNITY Ph-I</v>
          </cell>
          <cell r="J169">
            <v>0</v>
          </cell>
        </row>
        <row r="170">
          <cell r="A170" t="str">
            <v>NYATI ETERNITY Ph-II</v>
          </cell>
          <cell r="J170">
            <v>0</v>
          </cell>
        </row>
        <row r="171">
          <cell r="A171" t="str">
            <v>NYATI ETERNITY Ph-II</v>
          </cell>
          <cell r="J171">
            <v>0</v>
          </cell>
        </row>
        <row r="172">
          <cell r="A172" t="str">
            <v>NYATI ETERNITY Ph-II</v>
          </cell>
          <cell r="J172">
            <v>0</v>
          </cell>
        </row>
        <row r="173">
          <cell r="A173" t="str">
            <v>NYATI ETERNITY Ph-II</v>
          </cell>
          <cell r="J173">
            <v>0</v>
          </cell>
        </row>
        <row r="174">
          <cell r="A174" t="str">
            <v>NYATI EUDORA</v>
          </cell>
          <cell r="J174">
            <v>0</v>
          </cell>
        </row>
        <row r="175">
          <cell r="A175" t="str">
            <v>NYATI EUREKA</v>
          </cell>
          <cell r="J175">
            <v>0</v>
          </cell>
        </row>
        <row r="176">
          <cell r="A176" t="str">
            <v>NYATI EUREKA</v>
          </cell>
          <cell r="J176">
            <v>0</v>
          </cell>
        </row>
        <row r="177">
          <cell r="A177" t="str">
            <v>NYATI EVANIA</v>
          </cell>
          <cell r="J177">
            <v>47.87</v>
          </cell>
        </row>
        <row r="178">
          <cell r="A178" t="str">
            <v>NYATI EVANIA</v>
          </cell>
          <cell r="J178">
            <v>65.61</v>
          </cell>
        </row>
        <row r="179">
          <cell r="A179" t="str">
            <v>NYATI EVANIA</v>
          </cell>
          <cell r="J179">
            <v>25.73</v>
          </cell>
        </row>
        <row r="180">
          <cell r="A180" t="str">
            <v>NYATI EVARA ( AVALON GROUP PVT LTD)</v>
          </cell>
          <cell r="J180">
            <v>0</v>
          </cell>
        </row>
        <row r="181">
          <cell r="A181" t="str">
            <v>NYATI EVARA ( AVALON GROUP PVT LTD)</v>
          </cell>
          <cell r="J181">
            <v>0</v>
          </cell>
        </row>
        <row r="182">
          <cell r="A182" t="str">
            <v>NYATI EVARA ( AVALON GROUP PVT LTD)</v>
          </cell>
          <cell r="J182">
            <v>0</v>
          </cell>
        </row>
        <row r="183">
          <cell r="A183" t="str">
            <v>NYATI EVARA ( AVALON GROUP PVT LTD)</v>
          </cell>
          <cell r="J183">
            <v>0</v>
          </cell>
        </row>
        <row r="184">
          <cell r="A184" t="str">
            <v>NYATI EVARA ( AVALON GROUP PVT LTD)</v>
          </cell>
          <cell r="J184">
            <v>0</v>
          </cell>
        </row>
        <row r="185">
          <cell r="A185" t="str">
            <v>NYATI EVARA - I</v>
          </cell>
          <cell r="J185">
            <v>0</v>
          </cell>
        </row>
        <row r="186">
          <cell r="A186" t="str">
            <v>NYATI EVARA - I</v>
          </cell>
          <cell r="J186">
            <v>0</v>
          </cell>
        </row>
        <row r="187">
          <cell r="A187" t="str">
            <v>NYATI EVARA - I</v>
          </cell>
          <cell r="J187">
            <v>0</v>
          </cell>
        </row>
        <row r="188">
          <cell r="A188" t="str">
            <v>NYATI EVARA - I</v>
          </cell>
          <cell r="J188">
            <v>0</v>
          </cell>
        </row>
        <row r="189">
          <cell r="A189" t="str">
            <v>NYATI EVARA - I</v>
          </cell>
          <cell r="J189">
            <v>0</v>
          </cell>
        </row>
        <row r="190">
          <cell r="A190" t="str">
            <v>NYATI EVARA - II</v>
          </cell>
          <cell r="J190">
            <v>0</v>
          </cell>
        </row>
        <row r="191">
          <cell r="A191" t="str">
            <v>NYATI EVARA - II</v>
          </cell>
          <cell r="J191">
            <v>0</v>
          </cell>
        </row>
        <row r="192">
          <cell r="A192" t="str">
            <v>NYATI EVARA - II ( AVALON GROUP PVT LTD)</v>
          </cell>
          <cell r="J192">
            <v>0</v>
          </cell>
        </row>
        <row r="193">
          <cell r="A193" t="str">
            <v>NYATI EVARA - II ( AVALON GROUP PVT LTD)</v>
          </cell>
          <cell r="J193">
            <v>0</v>
          </cell>
        </row>
        <row r="194">
          <cell r="A194" t="str">
            <v>NYATI EVITA PH-1</v>
          </cell>
          <cell r="J194">
            <v>0</v>
          </cell>
        </row>
        <row r="195">
          <cell r="A195" t="str">
            <v>NYATI EVITA PH-1</v>
          </cell>
          <cell r="J195">
            <v>0</v>
          </cell>
        </row>
        <row r="196">
          <cell r="A196" t="str">
            <v>NYATI EVITA PH-1</v>
          </cell>
          <cell r="J196">
            <v>0</v>
          </cell>
        </row>
        <row r="197">
          <cell r="A197" t="str">
            <v>NYATI EVITA PH-1</v>
          </cell>
          <cell r="J197">
            <v>0</v>
          </cell>
        </row>
        <row r="198">
          <cell r="A198" t="str">
            <v>NYATI EVITA PH-1</v>
          </cell>
          <cell r="J198">
            <v>0</v>
          </cell>
        </row>
        <row r="199">
          <cell r="A199" t="str">
            <v>NYATI EVOLVE I</v>
          </cell>
          <cell r="J199">
            <v>0</v>
          </cell>
        </row>
        <row r="200">
          <cell r="A200" t="str">
            <v>NYATI EVOLVE I</v>
          </cell>
          <cell r="J200">
            <v>0</v>
          </cell>
        </row>
        <row r="201">
          <cell r="A201" t="str">
            <v>NYATI EVOLVE II</v>
          </cell>
          <cell r="J201">
            <v>0</v>
          </cell>
        </row>
        <row r="202">
          <cell r="A202" t="str">
            <v>NYATI EVOLVE II</v>
          </cell>
          <cell r="J202">
            <v>0</v>
          </cell>
        </row>
        <row r="203">
          <cell r="A203" t="str">
            <v>NYATI EVOLVE III</v>
          </cell>
          <cell r="J203">
            <v>0</v>
          </cell>
        </row>
        <row r="204">
          <cell r="A204" t="str">
            <v>NYATI EVOQUE</v>
          </cell>
          <cell r="J204">
            <v>298.83999999999997</v>
          </cell>
        </row>
        <row r="205">
          <cell r="A205" t="str">
            <v>NYATI EVOQUE</v>
          </cell>
          <cell r="J205">
            <v>163.25</v>
          </cell>
        </row>
        <row r="206">
          <cell r="A206" t="str">
            <v>NYATI EXUBERANCE I</v>
          </cell>
          <cell r="J206">
            <v>0</v>
          </cell>
        </row>
        <row r="207">
          <cell r="A207" t="str">
            <v>NYATI EXUBERANCE I</v>
          </cell>
          <cell r="J207">
            <v>0</v>
          </cell>
        </row>
        <row r="208">
          <cell r="A208" t="str">
            <v>NYATI EXUBERANCE II</v>
          </cell>
          <cell r="J208">
            <v>0</v>
          </cell>
        </row>
        <row r="209">
          <cell r="A209" t="str">
            <v>NYATI EXUBERANCE II</v>
          </cell>
          <cell r="J209">
            <v>0</v>
          </cell>
        </row>
        <row r="210">
          <cell r="A210" t="str">
            <v>NYATI EXUBERANCE III</v>
          </cell>
          <cell r="J210">
            <v>15.08</v>
          </cell>
        </row>
        <row r="211">
          <cell r="A211" t="str">
            <v>NYATI EXUBERANCE III</v>
          </cell>
          <cell r="J211">
            <v>64.69</v>
          </cell>
        </row>
        <row r="212">
          <cell r="A212" t="str">
            <v>NYATI EXUBERANCE IV</v>
          </cell>
          <cell r="J212">
            <v>121.3</v>
          </cell>
        </row>
        <row r="213">
          <cell r="A213" t="str">
            <v>NYATI EXUBERANCE IV</v>
          </cell>
          <cell r="J213">
            <v>358.28</v>
          </cell>
        </row>
        <row r="214">
          <cell r="A214" t="str">
            <v>NYATI EXUBERANCE IV</v>
          </cell>
          <cell r="J214">
            <v>49.81</v>
          </cell>
        </row>
        <row r="215">
          <cell r="A215" t="str">
            <v>NYATI KALEIDOSCOPE</v>
          </cell>
          <cell r="J215">
            <v>0</v>
          </cell>
        </row>
        <row r="216">
          <cell r="A216" t="str">
            <v>NYATI KALEIDOSCOPE</v>
          </cell>
          <cell r="J216">
            <v>0</v>
          </cell>
        </row>
        <row r="217">
          <cell r="A217" t="str">
            <v>NYATI MEADOWS Ph-III</v>
          </cell>
          <cell r="J217">
            <v>0</v>
          </cell>
        </row>
        <row r="218">
          <cell r="A218" t="str">
            <v>NYATI MEADOWS Ph-III</v>
          </cell>
          <cell r="J218">
            <v>0</v>
          </cell>
        </row>
        <row r="219">
          <cell r="A219" t="str">
            <v>NYATI PLAZA</v>
          </cell>
          <cell r="J219">
            <v>0</v>
          </cell>
        </row>
        <row r="220">
          <cell r="A220" t="str">
            <v>NYATI PLAZA</v>
          </cell>
          <cell r="J220">
            <v>0</v>
          </cell>
        </row>
        <row r="221">
          <cell r="A221" t="str">
            <v>NYATI PLAZA</v>
          </cell>
          <cell r="J221">
            <v>0</v>
          </cell>
        </row>
        <row r="222">
          <cell r="A222" t="str">
            <v>NYATI PLAZA</v>
          </cell>
          <cell r="J222">
            <v>0</v>
          </cell>
        </row>
        <row r="223">
          <cell r="A223" t="str">
            <v>NYATI VICTORIA</v>
          </cell>
          <cell r="J223">
            <v>5</v>
          </cell>
        </row>
        <row r="224">
          <cell r="A224" t="str">
            <v>NYATI WINDCHIMES-II</v>
          </cell>
          <cell r="J224">
            <v>0</v>
          </cell>
        </row>
        <row r="225">
          <cell r="A225" t="str">
            <v>PRAKRUTI NIRWANA</v>
          </cell>
          <cell r="J225">
            <v>0</v>
          </cell>
        </row>
        <row r="226">
          <cell r="A226" t="str">
            <v>SAMPLE PROJECT</v>
          </cell>
          <cell r="J226">
            <v>0</v>
          </cell>
        </row>
        <row r="227">
          <cell r="A227" t="str">
            <v>test</v>
          </cell>
          <cell r="J227">
            <v>0</v>
          </cell>
        </row>
        <row r="228">
          <cell r="A228" t="str">
            <v>TEST PROJECT MIS</v>
          </cell>
          <cell r="J228">
            <v>0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 2026-2027"/>
      <sheetName val="05-2026"/>
      <sheetName val="04-2026"/>
      <sheetName val="Table 2"/>
      <sheetName val="Table 2 (2)"/>
    </sheetNames>
    <sheetDataSet>
      <sheetData sheetId="0" refreshError="1"/>
      <sheetData sheetId="1" refreshError="1">
        <row r="8">
          <cell r="G8">
            <v>4.0911773410963006</v>
          </cell>
        </row>
        <row r="16">
          <cell r="G16">
            <v>0.627314965966</v>
          </cell>
        </row>
        <row r="26">
          <cell r="G26">
            <v>1.9303090181922997</v>
          </cell>
        </row>
        <row r="37">
          <cell r="G37">
            <v>7.2783815645559002</v>
          </cell>
        </row>
        <row r="46">
          <cell r="G46">
            <v>1.1757652247614001</v>
          </cell>
        </row>
        <row r="57">
          <cell r="G57">
            <v>2.5144411707120002</v>
          </cell>
        </row>
        <row r="61">
          <cell r="G61">
            <v>0.37999999999999901</v>
          </cell>
        </row>
        <row r="80">
          <cell r="G80">
            <v>6.588943605E-2</v>
          </cell>
        </row>
        <row r="91">
          <cell r="G91">
            <v>1.3814687090919</v>
          </cell>
        </row>
        <row r="100">
          <cell r="G100">
            <v>3.4447375516171999</v>
          </cell>
        </row>
        <row r="103">
          <cell r="G103">
            <v>8.9700000000000002E-2</v>
          </cell>
        </row>
        <row r="116">
          <cell r="G116">
            <v>2.1503789088504002</v>
          </cell>
        </row>
        <row r="120">
          <cell r="G120">
            <v>1.1799999999999997</v>
          </cell>
        </row>
        <row r="124">
          <cell r="G124">
            <v>1.3300000000000018</v>
          </cell>
        </row>
        <row r="134">
          <cell r="G134">
            <v>1.3454924141262001</v>
          </cell>
        </row>
        <row r="142">
          <cell r="G142">
            <v>7.9600975667200008E-2</v>
          </cell>
        </row>
        <row r="146">
          <cell r="G146">
            <v>1.5712999999999997</v>
          </cell>
        </row>
        <row r="151">
          <cell r="G151">
            <v>0.97999999999999865</v>
          </cell>
        </row>
      </sheetData>
      <sheetData sheetId="2" refreshError="1">
        <row r="8">
          <cell r="G8">
            <v>2.8323535439996999</v>
          </cell>
        </row>
        <row r="16">
          <cell r="G16">
            <v>0.24127498695500005</v>
          </cell>
        </row>
        <row r="26">
          <cell r="G26">
            <v>2.4366195803718997</v>
          </cell>
        </row>
        <row r="37">
          <cell r="G37">
            <v>3.7146926673882001</v>
          </cell>
        </row>
        <row r="46">
          <cell r="G46">
            <v>0.67186584465880006</v>
          </cell>
        </row>
        <row r="57">
          <cell r="G57">
            <v>3.0152850062995</v>
          </cell>
        </row>
        <row r="61">
          <cell r="G61">
            <v>0.94510000000000005</v>
          </cell>
        </row>
        <row r="80">
          <cell r="G80">
            <v>0.2635577442</v>
          </cell>
        </row>
        <row r="91">
          <cell r="G91">
            <v>1.6909780913312003</v>
          </cell>
        </row>
        <row r="100">
          <cell r="G100">
            <v>3.7366644630400003</v>
          </cell>
        </row>
        <row r="116">
          <cell r="G116">
            <v>1.1355933580323998</v>
          </cell>
        </row>
        <row r="120">
          <cell r="G120">
            <v>2</v>
          </cell>
        </row>
        <row r="124">
          <cell r="G124">
            <v>1.2799999999999976</v>
          </cell>
        </row>
        <row r="134">
          <cell r="G134">
            <v>1.3259925238488002</v>
          </cell>
        </row>
        <row r="142">
          <cell r="G142">
            <v>0.30768838697489997</v>
          </cell>
        </row>
        <row r="146">
          <cell r="G146">
            <v>2.6800000000000006</v>
          </cell>
        </row>
        <row r="151">
          <cell r="G151">
            <v>0.79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4"/>
  <sheetViews>
    <sheetView zoomScale="69" zoomScaleNormal="69" workbookViewId="0">
      <selection activeCell="J31" sqref="J31"/>
    </sheetView>
  </sheetViews>
  <sheetFormatPr defaultRowHeight="15" x14ac:dyDescent="0.25"/>
  <cols>
    <col min="1" max="1" width="12.140625" bestFit="1" customWidth="1"/>
    <col min="2" max="2" width="14.85546875" bestFit="1" customWidth="1"/>
    <col min="3" max="3" width="33.85546875" bestFit="1" customWidth="1"/>
    <col min="4" max="6" width="9.42578125" bestFit="1" customWidth="1"/>
    <col min="7" max="7" width="10.85546875" customWidth="1"/>
    <col min="8" max="8" width="10.140625" bestFit="1" customWidth="1"/>
    <col min="9" max="9" width="9.42578125" bestFit="1" customWidth="1"/>
    <col min="10" max="10" width="15.85546875" bestFit="1" customWidth="1"/>
    <col min="11" max="15" width="14.42578125" bestFit="1" customWidth="1"/>
    <col min="16" max="18" width="10.42578125" bestFit="1" customWidth="1"/>
    <col min="19" max="19" width="10.85546875" bestFit="1" customWidth="1"/>
    <col min="20" max="21" width="10.42578125" bestFit="1" customWidth="1"/>
    <col min="22" max="22" width="15.85546875" bestFit="1" customWidth="1"/>
    <col min="23" max="23" width="14.42578125" bestFit="1" customWidth="1"/>
    <col min="24" max="24" width="15.85546875" bestFit="1" customWidth="1"/>
    <col min="25" max="27" width="14.42578125" bestFit="1" customWidth="1"/>
    <col min="28" max="29" width="9.42578125" bestFit="1" customWidth="1"/>
    <col min="30" max="30" width="10.140625" bestFit="1" customWidth="1"/>
    <col min="31" max="32" width="15.85546875" bestFit="1" customWidth="1"/>
    <col min="33" max="33" width="14.42578125" bestFit="1" customWidth="1"/>
    <col min="34" max="35" width="9.28515625" bestFit="1" customWidth="1"/>
    <col min="36" max="36" width="10.140625" bestFit="1" customWidth="1"/>
    <col min="37" max="38" width="15.85546875" bestFit="1" customWidth="1"/>
    <col min="39" max="39" width="14.42578125" bestFit="1" customWidth="1"/>
    <col min="40" max="41" width="9.85546875" bestFit="1" customWidth="1"/>
    <col min="42" max="42" width="10.140625" bestFit="1" customWidth="1"/>
    <col min="43" max="44" width="15.85546875" bestFit="1" customWidth="1"/>
    <col min="45" max="45" width="14.42578125" bestFit="1" customWidth="1"/>
    <col min="46" max="47" width="9.7109375" bestFit="1" customWidth="1"/>
    <col min="48" max="48" width="10.140625" bestFit="1" customWidth="1"/>
    <col min="49" max="50" width="15.85546875" bestFit="1" customWidth="1"/>
    <col min="51" max="51" width="14.42578125" bestFit="1" customWidth="1"/>
    <col min="52" max="53" width="9.28515625" bestFit="1" customWidth="1"/>
    <col min="54" max="54" width="10.140625" bestFit="1" customWidth="1"/>
    <col min="55" max="56" width="15.85546875" bestFit="1" customWidth="1"/>
    <col min="57" max="57" width="14.42578125" bestFit="1" customWidth="1"/>
    <col min="58" max="60" width="10.140625" bestFit="1" customWidth="1"/>
    <col min="61" max="62" width="15.85546875" bestFit="1" customWidth="1"/>
    <col min="63" max="63" width="14.42578125" bestFit="1" customWidth="1"/>
    <col min="64" max="65" width="9.7109375" bestFit="1" customWidth="1"/>
    <col min="66" max="66" width="10.140625" bestFit="1" customWidth="1"/>
    <col min="67" max="68" width="15.85546875" bestFit="1" customWidth="1"/>
    <col min="69" max="69" width="14.42578125" bestFit="1" customWidth="1"/>
    <col min="70" max="71" width="9.28515625" bestFit="1" customWidth="1"/>
    <col min="72" max="72" width="10.140625" bestFit="1" customWidth="1"/>
    <col min="73" max="74" width="15.85546875" bestFit="1" customWidth="1"/>
    <col min="75" max="75" width="14.42578125" bestFit="1" customWidth="1"/>
    <col min="76" max="77" width="9.42578125" bestFit="1" customWidth="1"/>
    <col min="78" max="78" width="10.140625" bestFit="1" customWidth="1"/>
    <col min="79" max="80" width="15.85546875" bestFit="1" customWidth="1"/>
    <col min="81" max="81" width="14.42578125" bestFit="1" customWidth="1"/>
    <col min="82" max="84" width="10.140625" bestFit="1" customWidth="1"/>
    <col min="85" max="86" width="15.85546875" bestFit="1" customWidth="1"/>
    <col min="87" max="87" width="14.42578125" bestFit="1" customWidth="1"/>
  </cols>
  <sheetData>
    <row r="1" spans="1:87" ht="98.2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23</v>
      </c>
      <c r="Z1" s="5" t="s">
        <v>24</v>
      </c>
      <c r="AA1" s="4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</row>
    <row r="2" spans="1:87" ht="30" customHeight="1" x14ac:dyDescent="0.25">
      <c r="A2" s="7" t="s">
        <v>86</v>
      </c>
      <c r="B2" s="7" t="s">
        <v>87</v>
      </c>
      <c r="C2" s="8" t="s">
        <v>88</v>
      </c>
      <c r="D2" s="9">
        <v>5</v>
      </c>
      <c r="E2" s="10">
        <f>COUNTIF('[1]Booking Apr'!B:B,'[1]FY Target Sheet'!C2)-COUNTIF('[1]Cancel Apr'!A:A,'[1]FY Target Sheet'!C2)</f>
        <v>-1</v>
      </c>
      <c r="F2" s="11">
        <v>8249.1106290672451</v>
      </c>
      <c r="G2" s="12">
        <f>(K2/I2)</f>
        <v>8641.7037037037044</v>
      </c>
      <c r="H2" s="13">
        <v>6915</v>
      </c>
      <c r="I2" s="10">
        <f>SUMIF('[1]Booking Apr'!B:B,'[1]FY Target Sheet'!C2,'[1]Booking Apr'!K:K)-SUMIF('[1]Cancel Apr'!A:A,'[1]FY Target Sheet'!C2,'[1]Cancel Apr'!F:F)</f>
        <v>-648</v>
      </c>
      <c r="J2" s="13">
        <v>57042600</v>
      </c>
      <c r="K2" s="10">
        <f>SUMIF('[1]Booking Apr'!B:B,C2,'[1]Booking Apr'!L:L)-SUMIF('[1]Cancel Apr'!A:A,'[1]FY Target Sheet'!C2,'[1]Cancel Apr'!G:G)</f>
        <v>-5599824</v>
      </c>
      <c r="L2" s="13">
        <v>86722919.999999985</v>
      </c>
      <c r="M2" s="10">
        <f>SUMIF('[1]Coll Apr'!A:A,C2,'[1]Coll Apr'!J:J)*100000</f>
        <v>57110000</v>
      </c>
      <c r="N2" s="14">
        <f>'[1]Construction Budget'!D5*10000000</f>
        <v>82975269.012319669</v>
      </c>
      <c r="O2" s="15">
        <f>'[1]Construction Budget'!D6*10000000</f>
        <v>28323535.439996999</v>
      </c>
      <c r="P2" s="16">
        <v>3</v>
      </c>
      <c r="Q2" s="10">
        <f>COUNTIF('[1]Booking May'!B:B,'[1]FY Target Sheet'!C2)-COUNTIF('[1]Cancel May'!A:A,'[1]FY Target Sheet'!C2)</f>
        <v>1</v>
      </c>
      <c r="R2" s="11">
        <v>8274.3269862114248</v>
      </c>
      <c r="S2" s="12">
        <f>(W2/U2)</f>
        <v>8450</v>
      </c>
      <c r="T2" s="13">
        <v>4569</v>
      </c>
      <c r="U2" s="10">
        <f>SUMIF('[1]Booking May'!B:B,'[1]FY Target Sheet'!C2,'[1]Booking May'!K:K)-SUMIF('[1]Cancel May'!A:A,'[1]FY Target Sheet'!C2,'[1]Cancel May'!F:F)</f>
        <v>1173</v>
      </c>
      <c r="V2" s="13">
        <v>37805400</v>
      </c>
      <c r="W2" s="10">
        <f>SUMIF('[1]Booking May'!B:B,C2,'[1]Booking May'!L:L)-SUMIF('[1]Cancel May'!A:A,'[1]FY Target Sheet'!C2,'[1]Cancel May'!G:G)</f>
        <v>9911850</v>
      </c>
      <c r="X2" s="13">
        <v>87309514.583333328</v>
      </c>
      <c r="Y2" s="13">
        <f>SUMIF('[1]Coll May'!A:A,C2,'[1]Coll May'!J:J)*100000</f>
        <v>38666999.999999993</v>
      </c>
      <c r="Z2" s="14">
        <f>'[1]Construction Budget'!E5*10000000</f>
        <v>85868029.860174403</v>
      </c>
      <c r="AA2" s="15">
        <f>'[1]Construction Budget'!E6*10000000</f>
        <v>40911773.410963006</v>
      </c>
      <c r="AB2" s="13">
        <v>5</v>
      </c>
      <c r="AC2" s="11">
        <v>8268.467741935483</v>
      </c>
      <c r="AD2" s="13">
        <v>7440</v>
      </c>
      <c r="AE2" s="13">
        <v>61517400</v>
      </c>
      <c r="AF2" s="13">
        <v>77332449.166666657</v>
      </c>
      <c r="AG2" s="14">
        <f>'[1]Construction Budget'!F5*10000000</f>
        <v>93591907.214336693</v>
      </c>
      <c r="AH2" s="13">
        <v>5</v>
      </c>
      <c r="AI2" s="11">
        <v>8400</v>
      </c>
      <c r="AJ2" s="13">
        <v>8490</v>
      </c>
      <c r="AK2" s="13">
        <v>71316000</v>
      </c>
      <c r="AL2" s="13">
        <v>83974119.166666657</v>
      </c>
      <c r="AM2" s="14">
        <f>'[1]Construction Budget'!G5*10000000</f>
        <v>121273705.95819837</v>
      </c>
      <c r="AN2" s="13">
        <v>5</v>
      </c>
      <c r="AO2" s="11">
        <v>8400</v>
      </c>
      <c r="AP2" s="13">
        <v>8490</v>
      </c>
      <c r="AQ2" s="13">
        <v>71316000</v>
      </c>
      <c r="AR2" s="13">
        <v>91105719.166666642</v>
      </c>
      <c r="AS2" s="14">
        <f>'[1]Construction Budget'!H5*10000000</f>
        <v>120610468.1345229</v>
      </c>
      <c r="AT2" s="13">
        <v>7</v>
      </c>
      <c r="AU2" s="11">
        <v>8389.6752046474776</v>
      </c>
      <c r="AV2" s="13">
        <v>11361</v>
      </c>
      <c r="AW2" s="13">
        <v>95315100</v>
      </c>
      <c r="AX2" s="13">
        <v>103003074.16666664</v>
      </c>
      <c r="AY2" s="14">
        <f>'[1]Construction Budget'!I5*10000000</f>
        <v>129213132.41553761</v>
      </c>
      <c r="AZ2" s="13">
        <v>7</v>
      </c>
      <c r="BA2" s="13">
        <v>8810.461586362575</v>
      </c>
      <c r="BB2" s="13">
        <v>12847</v>
      </c>
      <c r="BC2" s="13">
        <v>113188000</v>
      </c>
      <c r="BD2" s="13">
        <v>119523484.16666664</v>
      </c>
      <c r="BE2" s="14">
        <f>'[1]Construction Budget'!J5*10000000</f>
        <v>122104358.29343748</v>
      </c>
      <c r="BF2" s="13">
        <v>7</v>
      </c>
      <c r="BG2" s="13">
        <v>8810.461586362575</v>
      </c>
      <c r="BH2" s="13">
        <v>12847</v>
      </c>
      <c r="BI2" s="13">
        <v>113188000</v>
      </c>
      <c r="BJ2" s="13">
        <v>130083754.16666666</v>
      </c>
      <c r="BK2" s="14">
        <f>'[1]Construction Budget'!K5*10000000</f>
        <v>130267933.49648078</v>
      </c>
      <c r="BL2" s="13">
        <v>11</v>
      </c>
      <c r="BM2" s="13">
        <v>8891.5168119551672</v>
      </c>
      <c r="BN2" s="13">
        <v>20075</v>
      </c>
      <c r="BO2" s="13">
        <v>178497200</v>
      </c>
      <c r="BP2" s="13">
        <v>190923174.16666666</v>
      </c>
      <c r="BQ2" s="14">
        <f>'[1]Construction Budget'!L5*10000000</f>
        <v>121302124.30846386</v>
      </c>
      <c r="BR2" s="13">
        <v>0</v>
      </c>
      <c r="BS2" s="13">
        <v>0</v>
      </c>
      <c r="BT2" s="13">
        <v>0</v>
      </c>
      <c r="BU2" s="13">
        <v>0</v>
      </c>
      <c r="BV2" s="13">
        <v>225553124.16666666</v>
      </c>
      <c r="BW2" s="14">
        <f>'[1]Construction Budget'!M5*10000000</f>
        <v>108117110.79667433</v>
      </c>
      <c r="BX2" s="13">
        <v>0</v>
      </c>
      <c r="BY2" s="13">
        <v>0</v>
      </c>
      <c r="BZ2" s="13">
        <v>0</v>
      </c>
      <c r="CA2" s="13">
        <v>0</v>
      </c>
      <c r="CB2" s="13">
        <v>250787369.16666666</v>
      </c>
      <c r="CC2" s="14">
        <f>'[1]Construction Budget'!N5*10000000</f>
        <v>121302124.30846386</v>
      </c>
      <c r="CD2" s="13">
        <v>0</v>
      </c>
      <c r="CE2" s="13">
        <v>0</v>
      </c>
      <c r="CF2" s="13">
        <v>0</v>
      </c>
      <c r="CG2" s="13">
        <v>0</v>
      </c>
      <c r="CH2" s="17">
        <v>294583819.16666669</v>
      </c>
      <c r="CI2" s="14">
        <f>'[1]Construction Budget'!O5*10000000</f>
        <v>113391116.20139013</v>
      </c>
    </row>
    <row r="3" spans="1:87" ht="30" customHeight="1" x14ac:dyDescent="0.25">
      <c r="A3" s="7" t="s">
        <v>86</v>
      </c>
      <c r="B3" s="7" t="s">
        <v>87</v>
      </c>
      <c r="C3" s="8" t="s">
        <v>89</v>
      </c>
      <c r="D3" s="9"/>
      <c r="E3" s="10">
        <f>COUNTIF('[1]Booking Apr'!B:B,'[1]FY Target Sheet'!C3)-COUNTIF('[1]Cancel Apr'!A:A,'[1]FY Target Sheet'!C3)</f>
        <v>2</v>
      </c>
      <c r="F3" s="11"/>
      <c r="G3" s="11"/>
      <c r="H3" s="13"/>
      <c r="I3" s="10">
        <f>SUMIF('[1]Booking Apr'!B:B,'[1]FY Target Sheet'!C3,'[1]Booking Apr'!K:K)-SUMIF('[1]Cancel Apr'!A:A,'[1]FY Target Sheet'!C3,'[1]Cancel Apr'!F:F)</f>
        <v>1328</v>
      </c>
      <c r="J3" s="13"/>
      <c r="K3" s="10">
        <f>SUMIF('[1]Booking Apr'!B:B,C3,'[1]Booking Apr'!L:L)-SUMIF('[1]Cancel Apr'!A:A,'[1]FY Target Sheet'!C3,'[1]Cancel Apr'!G:G)</f>
        <v>4435800</v>
      </c>
      <c r="L3" s="13">
        <v>4185500.0000000005</v>
      </c>
      <c r="M3" s="10">
        <f>SUMIF('[1]Coll Apr'!A:A,C3,'[1]Coll Apr'!J:J)*100000</f>
        <v>6545999.9999999991</v>
      </c>
      <c r="N3" s="13">
        <f>'[1]Construction Budget'!D8*10000000</f>
        <v>15625200</v>
      </c>
      <c r="O3" s="18">
        <f>'[1]Construction Budget'!D9*10000000</f>
        <v>2412749.8695500004</v>
      </c>
      <c r="P3" s="16"/>
      <c r="Q3" s="10">
        <f>COUNTIF('[1]Booking May'!B:B,'[1]FY Target Sheet'!C3)-COUNTIF('[1]Cancel May'!A:A,'[1]FY Target Sheet'!C3)</f>
        <v>1</v>
      </c>
      <c r="R3" s="11"/>
      <c r="S3" s="12">
        <f>(W3/U3)</f>
        <v>3340.2108433734938</v>
      </c>
      <c r="T3" s="13"/>
      <c r="U3" s="10">
        <f>SUMIF('[1]Booking May'!B:B,'[1]FY Target Sheet'!C3,'[1]Booking May'!K:K)-SUMIF('[1]Cancel May'!A:A,'[1]FY Target Sheet'!C3,'[1]Cancel May'!F:F)</f>
        <v>664</v>
      </c>
      <c r="V3" s="13"/>
      <c r="W3" s="10">
        <f>SUMIF('[1]Booking May'!B:B,C3,'[1]Booking May'!L:L)-SUMIF('[1]Cancel May'!A:A,'[1]FY Target Sheet'!C3,'[1]Cancel May'!G:G)</f>
        <v>2217900</v>
      </c>
      <c r="X3" s="13">
        <v>18985372.727272727</v>
      </c>
      <c r="Y3" s="13">
        <f>SUMIF('[1]Coll May'!A:A,C3,'[1]Coll May'!J:J)*100000</f>
        <v>19258000</v>
      </c>
      <c r="Z3" s="13">
        <f>'[1]Construction Budget'!E8*10000000</f>
        <v>24271144.000000004</v>
      </c>
      <c r="AA3" s="15">
        <f>'[1]Construction Budget'!E9*10000000</f>
        <v>6273149.6596600004</v>
      </c>
      <c r="AB3" s="13"/>
      <c r="AC3" s="11"/>
      <c r="AD3" s="13"/>
      <c r="AE3" s="13"/>
      <c r="AF3" s="13">
        <v>16040410.909090908</v>
      </c>
      <c r="AG3" s="13">
        <f>'[1]Construction Budget'!F8*10000000</f>
        <v>22916960.000000004</v>
      </c>
      <c r="AH3" s="13"/>
      <c r="AI3" s="11"/>
      <c r="AJ3" s="13"/>
      <c r="AK3" s="13"/>
      <c r="AL3" s="13">
        <v>16040410.909090908</v>
      </c>
      <c r="AM3" s="13">
        <f>'[1]Construction Budget'!G8*10000000</f>
        <v>21875280</v>
      </c>
      <c r="AN3" s="13"/>
      <c r="AO3" s="11"/>
      <c r="AP3" s="13"/>
      <c r="AQ3" s="13"/>
      <c r="AR3" s="13">
        <v>16040410.909090908</v>
      </c>
      <c r="AS3" s="13">
        <f>'[1]Construction Budget'!H8*10000000</f>
        <v>23021128</v>
      </c>
      <c r="AT3" s="13"/>
      <c r="AU3" s="11"/>
      <c r="AV3" s="13"/>
      <c r="AW3" s="13"/>
      <c r="AX3" s="13">
        <v>16040410.909090908</v>
      </c>
      <c r="AY3" s="13">
        <f>'[1]Construction Budget'!I8*10000000</f>
        <v>18750240</v>
      </c>
      <c r="AZ3" s="13"/>
      <c r="BA3" s="13"/>
      <c r="BB3" s="13"/>
      <c r="BC3" s="13"/>
      <c r="BD3" s="13">
        <v>16040410.909090908</v>
      </c>
      <c r="BE3" s="13">
        <f>'[1]Construction Budget'!J8*10000000</f>
        <v>21666944</v>
      </c>
      <c r="BF3" s="13"/>
      <c r="BG3" s="13"/>
      <c r="BH3" s="13"/>
      <c r="BI3" s="13"/>
      <c r="BJ3" s="13">
        <v>16040410.909090908</v>
      </c>
      <c r="BK3" s="13">
        <f>'[1]Construction Budget'!K8*10000000</f>
        <v>17708560</v>
      </c>
      <c r="BL3" s="13"/>
      <c r="BM3" s="13"/>
      <c r="BN3" s="13"/>
      <c r="BO3" s="13"/>
      <c r="BP3" s="13">
        <v>16040410.909090908</v>
      </c>
      <c r="BQ3" s="13">
        <f>'[1]Construction Budget'!L8*10000000</f>
        <v>16041872.000000002</v>
      </c>
      <c r="BR3" s="13"/>
      <c r="BS3" s="13"/>
      <c r="BT3" s="13"/>
      <c r="BU3" s="13"/>
      <c r="BV3" s="13">
        <v>16040410.909090908</v>
      </c>
      <c r="BW3" s="13">
        <f>'[1]Construction Budget'!M8*10000000</f>
        <v>19791920</v>
      </c>
      <c r="BX3" s="13"/>
      <c r="BY3" s="13"/>
      <c r="BZ3" s="13"/>
      <c r="CA3" s="13"/>
      <c r="CB3" s="13">
        <v>16040410.909090908</v>
      </c>
      <c r="CC3" s="13">
        <f>'[1]Construction Budget'!N8*10000000</f>
        <v>21979447.999999996</v>
      </c>
      <c r="CD3" s="13"/>
      <c r="CE3" s="13"/>
      <c r="CF3" s="13"/>
      <c r="CG3" s="13"/>
      <c r="CH3" s="17">
        <v>16040410.909090908</v>
      </c>
      <c r="CI3" s="13">
        <f>'[1]Construction Budget'!O8*10000000</f>
        <v>26354504</v>
      </c>
    </row>
    <row r="4" spans="1:87" ht="30" customHeight="1" x14ac:dyDescent="0.25">
      <c r="A4" s="7" t="s">
        <v>86</v>
      </c>
      <c r="B4" s="7" t="s">
        <v>87</v>
      </c>
      <c r="C4" s="8" t="s">
        <v>90</v>
      </c>
      <c r="D4" s="9">
        <v>19</v>
      </c>
      <c r="E4" s="10">
        <f>COUNTIF('[1]Booking Apr'!B:B,'[1]FY Target Sheet'!C4)-COUNTIF('[1]Cancel Apr'!A:A,'[1]FY Target Sheet'!C4)</f>
        <v>1</v>
      </c>
      <c r="F4" s="11">
        <v>8388.7220517316964</v>
      </c>
      <c r="G4" s="12">
        <f t="shared" ref="G4:G7" si="0">(K4/I4)</f>
        <v>8803.5834457939727</v>
      </c>
      <c r="H4" s="13">
        <v>27372</v>
      </c>
      <c r="I4" s="10">
        <f>SUMIF('[1]Booking Apr'!B:B,'[1]FY Target Sheet'!C4,'[1]Booking Apr'!K:K)-SUMIF('[1]Cancel Apr'!A:A,'[1]FY Target Sheet'!C4,'[1]Cancel Apr'!F:F)</f>
        <v>2223</v>
      </c>
      <c r="J4" s="13">
        <v>229616100</v>
      </c>
      <c r="K4" s="10">
        <f>SUMIF('[1]Booking Apr'!B:B,C4,'[1]Booking Apr'!L:L)-SUMIF('[1]Cancel Apr'!A:A,'[1]FY Target Sheet'!C4,'[1]Cancel Apr'!G:G)</f>
        <v>19570366</v>
      </c>
      <c r="L4" s="13">
        <v>107424104.99999999</v>
      </c>
      <c r="M4" s="10">
        <f>SUMIF('[1]Coll Apr'!A:A,C4,'[1]Coll Apr'!J:J)*100000</f>
        <v>117679000</v>
      </c>
      <c r="N4" s="13">
        <f>'[1]Construction Budget'!D11*10000000</f>
        <v>55858996.367056936</v>
      </c>
      <c r="O4" s="18">
        <f>'[1]Construction Budget'!D12*10000000</f>
        <v>24366195.803718999</v>
      </c>
      <c r="P4" s="16">
        <v>17</v>
      </c>
      <c r="Q4" s="10">
        <f>COUNTIF('[1]Booking May'!B:B,'[1]FY Target Sheet'!C4)-COUNTIF('[1]Cancel May'!A:A,'[1]FY Target Sheet'!C4)</f>
        <v>4</v>
      </c>
      <c r="R4" s="11">
        <v>8287.2957850024504</v>
      </c>
      <c r="S4" s="12">
        <f>(W4/U4)</f>
        <v>8356.5142802376849</v>
      </c>
      <c r="T4" s="13">
        <v>24484</v>
      </c>
      <c r="U4" s="10">
        <f>SUMIF('[1]Booking May'!B:B,'[1]FY Target Sheet'!C4,'[1]Booking May'!K:K)-SUMIF('[1]Cancel May'!A:A,'[1]FY Target Sheet'!C4,'[1]Cancel May'!F:F)</f>
        <v>5217</v>
      </c>
      <c r="V4" s="13">
        <v>202906150</v>
      </c>
      <c r="W4" s="10">
        <f>SUMIF('[1]Booking May'!B:B,C4,'[1]Booking May'!L:L)-SUMIF('[1]Cancel May'!A:A,'[1]FY Target Sheet'!C4,'[1]Cancel May'!G:G)</f>
        <v>43595935</v>
      </c>
      <c r="X4" s="13">
        <v>107791127.5</v>
      </c>
      <c r="Y4" s="13">
        <f>SUMIF('[1]Coll May'!A:A,C4,'[1]Coll May'!J:J)*100000</f>
        <v>75792000</v>
      </c>
      <c r="Z4" s="13">
        <f>'[1]Construction Budget'!E11*10000000</f>
        <v>60158221.747851722</v>
      </c>
      <c r="AA4" s="15">
        <f>'[1]Construction Budget'!E12*10000000</f>
        <v>19303090.181922998</v>
      </c>
      <c r="AB4" s="13">
        <v>15</v>
      </c>
      <c r="AC4" s="11">
        <v>8205.8815232722136</v>
      </c>
      <c r="AD4" s="13">
        <v>21270</v>
      </c>
      <c r="AE4" s="13">
        <v>174539100</v>
      </c>
      <c r="AF4" s="13">
        <v>101465380</v>
      </c>
      <c r="AG4" s="13">
        <f>'[1]Construction Budget'!F11*10000000</f>
        <v>81148014.736112177</v>
      </c>
      <c r="AH4" s="13">
        <v>13</v>
      </c>
      <c r="AI4" s="11">
        <v>8312.809131261889</v>
      </c>
      <c r="AJ4" s="13">
        <v>18924</v>
      </c>
      <c r="AK4" s="13">
        <v>157311600</v>
      </c>
      <c r="AL4" s="13">
        <v>118057915</v>
      </c>
      <c r="AM4" s="13">
        <f>'[1]Construction Budget'!G11*10000000</f>
        <v>66208722.097571604</v>
      </c>
      <c r="AN4" s="13">
        <v>13</v>
      </c>
      <c r="AO4" s="11">
        <v>8305.3725745964457</v>
      </c>
      <c r="AP4" s="13">
        <v>18399</v>
      </c>
      <c r="AQ4" s="13">
        <v>152810550</v>
      </c>
      <c r="AR4" s="13">
        <v>122083217.5</v>
      </c>
      <c r="AS4" s="13">
        <f>'[1]Construction Budget'!H11*10000000</f>
        <v>88355539.639209285</v>
      </c>
      <c r="AT4" s="13">
        <v>10</v>
      </c>
      <c r="AU4" s="11">
        <v>8309.1431556948792</v>
      </c>
      <c r="AV4" s="13">
        <v>14355</v>
      </c>
      <c r="AW4" s="13">
        <v>119277750</v>
      </c>
      <c r="AX4" s="13">
        <v>125542325</v>
      </c>
      <c r="AY4" s="13">
        <f>'[1]Construction Budget'!I11*10000000</f>
        <v>88960643.943625614</v>
      </c>
      <c r="AZ4" s="13">
        <v>13</v>
      </c>
      <c r="BA4" s="13">
        <v>8405.3725745964457</v>
      </c>
      <c r="BB4" s="13">
        <v>18399</v>
      </c>
      <c r="BC4" s="13">
        <v>154650450</v>
      </c>
      <c r="BD4" s="13">
        <v>130511780</v>
      </c>
      <c r="BE4" s="13">
        <f>'[1]Construction Budget'!J11*10000000</f>
        <v>94609007.710769251</v>
      </c>
      <c r="BF4" s="13">
        <v>15</v>
      </c>
      <c r="BG4" s="13">
        <v>8399.1106290672451</v>
      </c>
      <c r="BH4" s="13">
        <v>20745</v>
      </c>
      <c r="BI4" s="13">
        <v>174239550</v>
      </c>
      <c r="BJ4" s="13">
        <v>154688802.50000003</v>
      </c>
      <c r="BK4" s="13">
        <f>'[1]Construction Budget'!K11*10000000</f>
        <v>91003888.523112163</v>
      </c>
      <c r="BL4" s="13">
        <v>12</v>
      </c>
      <c r="BM4" s="13">
        <v>8400.8352793245922</v>
      </c>
      <c r="BN4" s="13">
        <v>16701</v>
      </c>
      <c r="BO4" s="13">
        <v>140302350</v>
      </c>
      <c r="BP4" s="13">
        <v>161296928.75</v>
      </c>
      <c r="BQ4" s="13">
        <f>'[1]Construction Budget'!L11*10000000</f>
        <v>70125890.590196759</v>
      </c>
      <c r="BR4" s="13">
        <v>21</v>
      </c>
      <c r="BS4" s="13">
        <v>8515.8713994762875</v>
      </c>
      <c r="BT4" s="13">
        <v>30933</v>
      </c>
      <c r="BU4" s="13">
        <v>263421450</v>
      </c>
      <c r="BV4" s="13">
        <v>190531928.74999997</v>
      </c>
      <c r="BW4" s="13">
        <f>'[1]Construction Budget'!M11*10000000</f>
        <v>52994112.400228411</v>
      </c>
      <c r="BX4" s="13">
        <v>20</v>
      </c>
      <c r="BY4" s="13">
        <v>8504.2203299627454</v>
      </c>
      <c r="BZ4" s="13">
        <v>28185</v>
      </c>
      <c r="CA4" s="13">
        <v>239691450</v>
      </c>
      <c r="CB4" s="13">
        <v>208536681.25000003</v>
      </c>
      <c r="CC4" s="13">
        <f>'[1]Construction Budget'!N11*10000000</f>
        <v>96758077.706723228</v>
      </c>
      <c r="CD4" s="13">
        <v>23</v>
      </c>
      <c r="CE4" s="13">
        <v>8519.2475749366422</v>
      </c>
      <c r="CF4" s="13">
        <v>34329</v>
      </c>
      <c r="CG4" s="13">
        <v>292457250</v>
      </c>
      <c r="CH4" s="17">
        <v>259549986.24999997</v>
      </c>
      <c r="CI4" s="13">
        <f>'[1]Construction Budget'!O11*10000000</f>
        <v>53830404.537542827</v>
      </c>
    </row>
    <row r="5" spans="1:87" ht="30" customHeight="1" x14ac:dyDescent="0.25">
      <c r="A5" s="7" t="s">
        <v>86</v>
      </c>
      <c r="B5" s="7" t="s">
        <v>87</v>
      </c>
      <c r="C5" s="8" t="s">
        <v>91</v>
      </c>
      <c r="D5" s="9">
        <v>10</v>
      </c>
      <c r="E5" s="10">
        <f>COUNTIF('[1]Booking Apr'!B:B,'[1]FY Target Sheet'!C5)-COUNTIF('[1]Cancel Apr'!A:A,'[1]FY Target Sheet'!C5)</f>
        <v>7</v>
      </c>
      <c r="F5" s="11">
        <v>8057.5033766972347</v>
      </c>
      <c r="G5" s="12">
        <f t="shared" si="0"/>
        <v>8428.2704302868588</v>
      </c>
      <c r="H5" s="13">
        <v>14067</v>
      </c>
      <c r="I5" s="10">
        <f>SUMIF('[1]Booking Apr'!B:B,'[1]FY Target Sheet'!C5,'[1]Booking Apr'!K:K)-SUMIF('[1]Cancel Apr'!A:A,'[1]FY Target Sheet'!C5,'[1]Cancel Apr'!F:F)</f>
        <v>11992</v>
      </c>
      <c r="J5" s="13">
        <v>113344900</v>
      </c>
      <c r="K5" s="10">
        <f>SUMIF('[1]Booking Apr'!B:B,C5,'[1]Booking Apr'!L:L)-SUMIF('[1]Cancel Apr'!A:A,'[1]FY Target Sheet'!C5,'[1]Cancel Apr'!G:G)</f>
        <v>101071819</v>
      </c>
      <c r="L5" s="13">
        <v>157687814.99999997</v>
      </c>
      <c r="M5" s="10">
        <f>SUMIF('[1]Coll Apr'!A:A,C5,'[1]Coll Apr'!J:J)*100000</f>
        <v>106054000</v>
      </c>
      <c r="N5" s="13">
        <f>'[1]Construction Budget'!D14*10000000</f>
        <v>56000716.800000004</v>
      </c>
      <c r="O5" s="18">
        <f>'[1]Construction Budget'!D15*10000000</f>
        <v>37146926.673882</v>
      </c>
      <c r="P5" s="16">
        <v>13</v>
      </c>
      <c r="Q5" s="10">
        <f>COUNTIF('[1]Booking May'!B:B,'[1]FY Target Sheet'!C5)-COUNTIF('[1]Cancel May'!A:A,'[1]FY Target Sheet'!C5)</f>
        <v>6</v>
      </c>
      <c r="R5" s="11">
        <v>8091.6436081903712</v>
      </c>
      <c r="S5" s="12">
        <f t="shared" ref="S5:S19" si="1">(W5/U5)</f>
        <v>8544.5626276913408</v>
      </c>
      <c r="T5" s="13">
        <v>19877</v>
      </c>
      <c r="U5" s="10">
        <f>SUMIF('[1]Booking May'!B:B,'[1]FY Target Sheet'!C5,'[1]Booking May'!K:K)-SUMIF('[1]Cancel May'!A:A,'[1]FY Target Sheet'!C5,'[1]Cancel May'!F:F)</f>
        <v>6363</v>
      </c>
      <c r="V5" s="13">
        <v>160837600</v>
      </c>
      <c r="W5" s="10">
        <f>SUMIF('[1]Booking May'!B:B,C5,'[1]Booking May'!L:L)-SUMIF('[1]Cancel May'!A:A,'[1]FY Target Sheet'!C5,'[1]Cancel May'!G:G)</f>
        <v>54369052</v>
      </c>
      <c r="X5" s="13">
        <v>176304002.66666666</v>
      </c>
      <c r="Y5" s="13">
        <f>SUMIF('[1]Coll May'!A:A,C5,'[1]Coll May'!J:J)*100000</f>
        <v>129128000.00000001</v>
      </c>
      <c r="Z5" s="13">
        <f>'[1]Construction Budget'!E14*10000000</f>
        <v>66500851.200000003</v>
      </c>
      <c r="AA5" s="15">
        <f>'[1]Construction Budget'!E15*10000000</f>
        <v>72783815.645558998</v>
      </c>
      <c r="AB5" s="13">
        <v>14</v>
      </c>
      <c r="AC5" s="11">
        <v>8070.7491314772224</v>
      </c>
      <c r="AD5" s="13">
        <v>20437</v>
      </c>
      <c r="AE5" s="13">
        <v>164941900</v>
      </c>
      <c r="AF5" s="13">
        <v>148319228.33333334</v>
      </c>
      <c r="AG5" s="13">
        <f>'[1]Construction Budget'!F14*10000000</f>
        <v>80501030.400000021</v>
      </c>
      <c r="AH5" s="13">
        <v>22</v>
      </c>
      <c r="AI5" s="11">
        <v>8991.4061974860524</v>
      </c>
      <c r="AJ5" s="13">
        <v>29754</v>
      </c>
      <c r="AK5" s="13">
        <v>267530300</v>
      </c>
      <c r="AL5" s="13">
        <v>172866015.83333334</v>
      </c>
      <c r="AM5" s="13">
        <f>'[1]Construction Budget'!G14*10000000</f>
        <v>84001075.200000003</v>
      </c>
      <c r="AN5" s="13">
        <v>20</v>
      </c>
      <c r="AO5" s="11">
        <v>8846.3966600335552</v>
      </c>
      <c r="AP5" s="13">
        <v>25629</v>
      </c>
      <c r="AQ5" s="13">
        <v>226724300</v>
      </c>
      <c r="AR5" s="13">
        <v>195119893.33333334</v>
      </c>
      <c r="AS5" s="13">
        <f>'[1]Construction Budget'!H14*10000000</f>
        <v>91001164.800000012</v>
      </c>
      <c r="AT5" s="13">
        <v>12</v>
      </c>
      <c r="AU5" s="11">
        <v>8617.7435289468485</v>
      </c>
      <c r="AV5" s="13">
        <v>15183</v>
      </c>
      <c r="AW5" s="13">
        <v>130843200</v>
      </c>
      <c r="AX5" s="13">
        <v>217568865.83333334</v>
      </c>
      <c r="AY5" s="13">
        <f>'[1]Construction Budget'!I14*10000000</f>
        <v>77000985.600000009</v>
      </c>
      <c r="AZ5" s="13">
        <v>10</v>
      </c>
      <c r="BA5" s="13">
        <v>8269.1194209891437</v>
      </c>
      <c r="BB5" s="13">
        <v>14922</v>
      </c>
      <c r="BC5" s="13">
        <v>123391800</v>
      </c>
      <c r="BD5" s="13">
        <v>217568063.33333334</v>
      </c>
      <c r="BE5" s="13">
        <f>'[1]Construction Budget'!J14*10000000</f>
        <v>87501120</v>
      </c>
      <c r="BF5" s="13">
        <v>15</v>
      </c>
      <c r="BG5" s="13">
        <v>8297.5304451139309</v>
      </c>
      <c r="BH5" s="13">
        <v>23567</v>
      </c>
      <c r="BI5" s="13">
        <v>195547900</v>
      </c>
      <c r="BJ5" s="13">
        <v>254525848.33333334</v>
      </c>
      <c r="BK5" s="13">
        <f>'[1]Construction Budget'!K14*10000000</f>
        <v>84001075.200000003</v>
      </c>
      <c r="BL5" s="13">
        <v>16</v>
      </c>
      <c r="BM5" s="13">
        <v>8253.716351948573</v>
      </c>
      <c r="BN5" s="13">
        <v>22401</v>
      </c>
      <c r="BO5" s="13">
        <v>184891500</v>
      </c>
      <c r="BP5" s="13">
        <v>322371563.33333331</v>
      </c>
      <c r="BQ5" s="13">
        <f>'[1]Construction Budget'!L14*10000000</f>
        <v>73500940.799999997</v>
      </c>
      <c r="BR5" s="13">
        <v>16</v>
      </c>
      <c r="BS5" s="13">
        <v>8353.716351948573</v>
      </c>
      <c r="BT5" s="13">
        <v>22401</v>
      </c>
      <c r="BU5" s="13">
        <v>187131600</v>
      </c>
      <c r="BV5" s="13">
        <v>351678704</v>
      </c>
      <c r="BW5" s="13">
        <f>'[1]Construction Budget'!M14*10000000</f>
        <v>0</v>
      </c>
      <c r="BX5" s="13">
        <v>17</v>
      </c>
      <c r="BY5" s="13">
        <v>8314.8794679966759</v>
      </c>
      <c r="BZ5" s="13">
        <v>10827</v>
      </c>
      <c r="CA5" s="13">
        <v>90025200</v>
      </c>
      <c r="CB5" s="13">
        <v>362982674.0000003</v>
      </c>
      <c r="CC5" s="13">
        <f>'[1]Construction Budget'!N14*10000000</f>
        <v>0</v>
      </c>
      <c r="CD5" s="13">
        <v>16</v>
      </c>
      <c r="CE5" s="13">
        <v>8365.7361376673034</v>
      </c>
      <c r="CF5" s="13">
        <v>23535</v>
      </c>
      <c r="CG5" s="13">
        <v>196887600</v>
      </c>
      <c r="CH5" s="17">
        <v>239880364</v>
      </c>
      <c r="CI5" s="13">
        <f>'[1]Construction Budget'!O14*10000000</f>
        <v>0</v>
      </c>
    </row>
    <row r="6" spans="1:87" ht="30" customHeight="1" x14ac:dyDescent="0.25">
      <c r="A6" s="7" t="s">
        <v>86</v>
      </c>
      <c r="B6" s="7" t="s">
        <v>87</v>
      </c>
      <c r="C6" s="8" t="s">
        <v>92</v>
      </c>
      <c r="D6" s="9">
        <v>5</v>
      </c>
      <c r="E6" s="10">
        <f>COUNTIF('[1]Booking Apr'!B:B,'[1]FY Target Sheet'!C6)-COUNTIF('[1]Cancel Apr'!A:A,'[1]FY Target Sheet'!C6)</f>
        <v>5</v>
      </c>
      <c r="F6" s="11">
        <v>6629.1161455009569</v>
      </c>
      <c r="G6" s="12">
        <f t="shared" si="0"/>
        <v>4749.8949700286685</v>
      </c>
      <c r="H6" s="13">
        <v>6268</v>
      </c>
      <c r="I6" s="10">
        <f>SUMIF('[1]Booking Apr'!B:B,'[1]FY Target Sheet'!C6,'[1]Booking Apr'!K:K)-SUMIF('[1]Cancel Apr'!A:A,'[1]FY Target Sheet'!C6,'[1]Cancel Apr'!F:F)</f>
        <v>3837</v>
      </c>
      <c r="J6" s="13">
        <v>41551300</v>
      </c>
      <c r="K6" s="10">
        <f>SUMIF('[1]Booking Apr'!B:B,C6,'[1]Booking Apr'!L:L)-SUMIF('[1]Cancel Apr'!A:A,'[1]FY Target Sheet'!C6,'[1]Cancel Apr'!G:G)</f>
        <v>18225347</v>
      </c>
      <c r="L6" s="13">
        <v>18423402.5</v>
      </c>
      <c r="M6" s="10">
        <f>SUMIF('[1]Coll Apr'!A:A,C6,'[1]Coll Apr'!J:J)*100000</f>
        <v>18198000</v>
      </c>
      <c r="N6" s="13">
        <f>'[1]Construction Budget'!D17*10000000</f>
        <v>19343367.67481637</v>
      </c>
      <c r="O6" s="18">
        <f>'[1]Construction Budget'!D18*10000000</f>
        <v>6718658.4465880003</v>
      </c>
      <c r="P6" s="16">
        <v>6</v>
      </c>
      <c r="Q6" s="10">
        <f>COUNTIF('[1]Booking May'!B:B,'[1]FY Target Sheet'!C6)-COUNTIF('[1]Cancel May'!A:A,'[1]FY Target Sheet'!C6)</f>
        <v>2</v>
      </c>
      <c r="R6" s="11">
        <v>6624.3365782104283</v>
      </c>
      <c r="S6" s="12">
        <f t="shared" si="1"/>
        <v>5067.4154160982262</v>
      </c>
      <c r="T6" s="13">
        <v>7499</v>
      </c>
      <c r="U6" s="10">
        <f>SUMIF('[1]Booking May'!B:B,'[1]FY Target Sheet'!C6,'[1]Booking May'!K:K)-SUMIF('[1]Cancel May'!A:A,'[1]FY Target Sheet'!C6,'[1]Cancel May'!F:F)</f>
        <v>1466</v>
      </c>
      <c r="V6" s="13">
        <v>49675900</v>
      </c>
      <c r="W6" s="10">
        <f>SUMIF('[1]Booking May'!B:B,C6,'[1]Booking May'!L:L)-SUMIF('[1]Cancel May'!A:A,'[1]FY Target Sheet'!C6,'[1]Cancel May'!G:G)</f>
        <v>7428831</v>
      </c>
      <c r="X6" s="13">
        <v>22984762.5</v>
      </c>
      <c r="Y6" s="13">
        <f>SUMIF('[1]Coll May'!A:A,C6,'[1]Coll May'!J:J)*100000</f>
        <v>9039000</v>
      </c>
      <c r="Z6" s="13">
        <f>'[1]Construction Budget'!E17*10000000</f>
        <v>14646423.593041999</v>
      </c>
      <c r="AA6" s="15">
        <f>'[1]Construction Budget'!E18*10000000</f>
        <v>11757652.247614002</v>
      </c>
      <c r="AB6" s="13">
        <v>7</v>
      </c>
      <c r="AC6" s="11">
        <v>6644.3553287155182</v>
      </c>
      <c r="AD6" s="13">
        <v>8229</v>
      </c>
      <c r="AE6" s="13">
        <v>54676400</v>
      </c>
      <c r="AF6" s="13">
        <v>22339377.5</v>
      </c>
      <c r="AG6" s="13">
        <f>'[1]Construction Budget'!F17*10000000</f>
        <v>9540521.4489752036</v>
      </c>
      <c r="AH6" s="13">
        <v>9</v>
      </c>
      <c r="AI6" s="11">
        <v>6708.1878523367886</v>
      </c>
      <c r="AJ6" s="13">
        <v>10998</v>
      </c>
      <c r="AK6" s="13">
        <v>73776650</v>
      </c>
      <c r="AL6" s="13">
        <v>28762030.000000004</v>
      </c>
      <c r="AM6" s="13">
        <f>'[1]Construction Budget'!G17*10000000</f>
        <v>34801442.550839886</v>
      </c>
      <c r="AN6" s="13">
        <v>9</v>
      </c>
      <c r="AO6" s="11">
        <v>6708.1878523367886</v>
      </c>
      <c r="AP6" s="13">
        <v>10998</v>
      </c>
      <c r="AQ6" s="13">
        <v>73776650</v>
      </c>
      <c r="AR6" s="13">
        <v>36945328.75</v>
      </c>
      <c r="AS6" s="13">
        <f>'[1]Construction Budget'!H17*10000000</f>
        <v>35715187.132265538</v>
      </c>
      <c r="AT6" s="13">
        <v>7</v>
      </c>
      <c r="AU6" s="11">
        <v>6695.1947548965363</v>
      </c>
      <c r="AV6" s="13">
        <v>9037</v>
      </c>
      <c r="AW6" s="13">
        <v>60504475</v>
      </c>
      <c r="AX6" s="13">
        <v>45503801.25</v>
      </c>
      <c r="AY6" s="13">
        <f>'[1]Construction Budget'!I17*10000000</f>
        <v>36746355.315735541</v>
      </c>
      <c r="AZ6" s="13">
        <v>8</v>
      </c>
      <c r="BA6" s="13">
        <v>6787.3707382000612</v>
      </c>
      <c r="BB6" s="13">
        <v>9767</v>
      </c>
      <c r="BC6" s="13">
        <v>66292250</v>
      </c>
      <c r="BD6" s="13">
        <v>53024445</v>
      </c>
      <c r="BE6" s="13">
        <f>'[1]Construction Budget'!J17*10000000</f>
        <v>39796669.575738437</v>
      </c>
      <c r="BF6" s="13">
        <v>11</v>
      </c>
      <c r="BG6" s="13">
        <v>6776.5126752378874</v>
      </c>
      <c r="BH6" s="13">
        <v>13767</v>
      </c>
      <c r="BI6" s="13">
        <v>93292250</v>
      </c>
      <c r="BJ6" s="13">
        <v>65975588.750000007</v>
      </c>
      <c r="BK6" s="13">
        <f>'[1]Construction Budget'!K17*10000000</f>
        <v>36560996.986071646</v>
      </c>
      <c r="BL6" s="13">
        <v>12</v>
      </c>
      <c r="BM6" s="13">
        <v>7235.7868368677509</v>
      </c>
      <c r="BN6" s="13">
        <v>14571</v>
      </c>
      <c r="BO6" s="13">
        <v>105432650</v>
      </c>
      <c r="BP6" s="13">
        <v>82486549.375</v>
      </c>
      <c r="BQ6" s="13">
        <f>'[1]Construction Budget'!L17*10000000</f>
        <v>39768325.947658762</v>
      </c>
      <c r="BR6" s="13">
        <v>13</v>
      </c>
      <c r="BS6" s="13">
        <v>7269.1273256549803</v>
      </c>
      <c r="BT6" s="13">
        <v>15802</v>
      </c>
      <c r="BU6" s="13">
        <v>114866750</v>
      </c>
      <c r="BV6" s="13">
        <v>107659110.625</v>
      </c>
      <c r="BW6" s="13">
        <f>'[1]Construction Budget'!M17*10000000</f>
        <v>46787647.936532684</v>
      </c>
      <c r="BX6" s="13">
        <v>14</v>
      </c>
      <c r="BY6" s="13">
        <v>7229.7347174163779</v>
      </c>
      <c r="BZ6" s="13">
        <v>17340</v>
      </c>
      <c r="CA6" s="13">
        <v>125363600</v>
      </c>
      <c r="CB6" s="13">
        <v>125531690.62500001</v>
      </c>
      <c r="CC6" s="13">
        <f>'[1]Construction Budget'!N17*10000000</f>
        <v>57529433.079870306</v>
      </c>
      <c r="CD6" s="13">
        <v>14</v>
      </c>
      <c r="CE6" s="13">
        <v>7229.7347174163779</v>
      </c>
      <c r="CF6" s="13">
        <v>17340</v>
      </c>
      <c r="CG6" s="13">
        <v>125363600</v>
      </c>
      <c r="CH6" s="17">
        <v>110532881.875</v>
      </c>
      <c r="CI6" s="13">
        <f>'[1]Construction Budget'!O17*10000000</f>
        <v>28768748.75845363</v>
      </c>
    </row>
    <row r="7" spans="1:87" ht="30" customHeight="1" x14ac:dyDescent="0.25">
      <c r="A7" s="7" t="s">
        <v>93</v>
      </c>
      <c r="B7" s="7" t="s">
        <v>87</v>
      </c>
      <c r="C7" s="8" t="s">
        <v>94</v>
      </c>
      <c r="D7" s="9">
        <v>3</v>
      </c>
      <c r="E7" s="10">
        <f>COUNTIF('[1]Booking Apr'!B:B,'[1]FY Target Sheet'!C7)-COUNTIF('[1]Cancel Apr'!A:A,'[1]FY Target Sheet'!C7)</f>
        <v>44</v>
      </c>
      <c r="F7" s="11">
        <v>9318.7588152327226</v>
      </c>
      <c r="G7" s="12">
        <f t="shared" si="0"/>
        <v>3145.6445993031357</v>
      </c>
      <c r="H7" s="13">
        <v>1418</v>
      </c>
      <c r="I7" s="10">
        <f>SUMIF('[1]Booking Apr'!B:B,'[1]FY Target Sheet'!C7,'[1]Booking Apr'!K:K)-SUMIF('[1]Cancel Apr'!A:A,'[1]FY Target Sheet'!C7,'[1]Cancel Apr'!F:F)</f>
        <v>25256</v>
      </c>
      <c r="J7" s="13">
        <v>13214000</v>
      </c>
      <c r="K7" s="10">
        <f>SUMIF('[1]Booking Apr'!B:B,C7,'[1]Booking Apr'!L:L)-SUMIF('[1]Cancel Apr'!A:A,'[1]FY Target Sheet'!C7,'[1]Cancel Apr'!G:G)</f>
        <v>79446400</v>
      </c>
      <c r="L7" s="13">
        <v>36161600</v>
      </c>
      <c r="M7" s="10">
        <f>SUMIF('[1]Coll Apr'!A:A,C7,'[1]Coll Apr'!J:J)*100000</f>
        <v>48702000</v>
      </c>
      <c r="N7" s="13"/>
      <c r="O7" s="18"/>
      <c r="P7" s="16">
        <v>3</v>
      </c>
      <c r="Q7" s="10">
        <f>COUNTIF('[1]Booking May'!B:B,'[1]FY Target Sheet'!C7)-COUNTIF('[1]Cancel May'!A:A,'[1]FY Target Sheet'!C7)</f>
        <v>5</v>
      </c>
      <c r="R7" s="11">
        <v>9318.7588152327226</v>
      </c>
      <c r="S7" s="12">
        <f t="shared" si="1"/>
        <v>3977.8286163522012</v>
      </c>
      <c r="T7" s="13">
        <v>1418</v>
      </c>
      <c r="U7" s="10">
        <f>SUMIF('[1]Booking May'!B:B,'[1]FY Target Sheet'!C7,'[1]Booking May'!K:K)-SUMIF('[1]Cancel May'!A:A,'[1]FY Target Sheet'!C7,'[1]Cancel May'!F:F)</f>
        <v>2544</v>
      </c>
      <c r="V7" s="13">
        <v>13214000</v>
      </c>
      <c r="W7" s="10">
        <f>SUMIF('[1]Booking May'!B:B,C7,'[1]Booking May'!L:L)-SUMIF('[1]Cancel May'!A:A,'[1]FY Target Sheet'!C7,'[1]Cancel May'!G:G)</f>
        <v>10119596</v>
      </c>
      <c r="X7" s="13">
        <v>37247500</v>
      </c>
      <c r="Y7" s="13">
        <f>SUMIF('[1]Coll May'!A:A,C7,'[1]Coll May'!J:J)*100000</f>
        <v>56647000</v>
      </c>
      <c r="Z7" s="14"/>
      <c r="AA7" s="13"/>
      <c r="AB7" s="13">
        <v>3</v>
      </c>
      <c r="AC7" s="11">
        <v>9318.7588152327226</v>
      </c>
      <c r="AD7" s="13">
        <v>1418</v>
      </c>
      <c r="AE7" s="13">
        <v>13214000</v>
      </c>
      <c r="AF7" s="13">
        <v>40551000</v>
      </c>
      <c r="AG7" s="14"/>
      <c r="AH7" s="13">
        <v>3</v>
      </c>
      <c r="AI7" s="11">
        <v>9318.7588152327226</v>
      </c>
      <c r="AJ7" s="13">
        <v>1418</v>
      </c>
      <c r="AK7" s="13">
        <v>13214000</v>
      </c>
      <c r="AL7" s="13">
        <v>36859166.666666672</v>
      </c>
      <c r="AM7" s="14"/>
      <c r="AN7" s="13">
        <v>5</v>
      </c>
      <c r="AO7" s="11">
        <v>9384.190395240119</v>
      </c>
      <c r="AP7" s="13">
        <v>2353</v>
      </c>
      <c r="AQ7" s="13">
        <v>22081000</v>
      </c>
      <c r="AR7" s="13">
        <v>38189216.666666664</v>
      </c>
      <c r="AS7" s="14"/>
      <c r="AT7" s="13">
        <v>5</v>
      </c>
      <c r="AU7" s="11">
        <v>9384.190395240119</v>
      </c>
      <c r="AV7" s="13">
        <v>2353</v>
      </c>
      <c r="AW7" s="13">
        <v>22081000</v>
      </c>
      <c r="AX7" s="13">
        <v>41292666.666666664</v>
      </c>
      <c r="AY7" s="14"/>
      <c r="AZ7" s="13">
        <v>4</v>
      </c>
      <c r="BA7" s="13">
        <v>9237.7695949500267</v>
      </c>
      <c r="BB7" s="13">
        <v>1901</v>
      </c>
      <c r="BC7" s="13">
        <v>17561000</v>
      </c>
      <c r="BD7" s="13">
        <v>19186250</v>
      </c>
      <c r="BE7" s="14"/>
      <c r="BF7" s="13">
        <v>4</v>
      </c>
      <c r="BG7" s="13">
        <v>9237.7695949500267</v>
      </c>
      <c r="BH7" s="13">
        <v>1901</v>
      </c>
      <c r="BI7" s="13">
        <v>17561000</v>
      </c>
      <c r="BJ7" s="13">
        <v>19821000</v>
      </c>
      <c r="BK7" s="14"/>
      <c r="BL7" s="13">
        <v>4</v>
      </c>
      <c r="BM7" s="13">
        <v>9237.7695949500267</v>
      </c>
      <c r="BN7" s="13">
        <v>1901</v>
      </c>
      <c r="BO7" s="13">
        <v>17561000</v>
      </c>
      <c r="BP7" s="13">
        <v>18691000</v>
      </c>
      <c r="BQ7" s="14"/>
      <c r="BR7" s="13">
        <v>2</v>
      </c>
      <c r="BS7" s="13">
        <v>9000</v>
      </c>
      <c r="BT7" s="13">
        <v>966</v>
      </c>
      <c r="BU7" s="13">
        <v>8694000</v>
      </c>
      <c r="BV7" s="13">
        <v>16230950.000000002</v>
      </c>
      <c r="BW7" s="14"/>
      <c r="BX7" s="13">
        <v>2</v>
      </c>
      <c r="BY7" s="13">
        <v>9000</v>
      </c>
      <c r="BZ7" s="13">
        <v>966</v>
      </c>
      <c r="CA7" s="13">
        <v>8694000</v>
      </c>
      <c r="CB7" s="13">
        <v>14866300.000000002</v>
      </c>
      <c r="CC7" s="14"/>
      <c r="CD7" s="13">
        <v>2</v>
      </c>
      <c r="CE7" s="13">
        <v>9000</v>
      </c>
      <c r="CF7" s="13">
        <v>966</v>
      </c>
      <c r="CG7" s="13">
        <v>8694000</v>
      </c>
      <c r="CH7" s="17">
        <v>10910750.000000002</v>
      </c>
      <c r="CI7" s="14"/>
    </row>
    <row r="8" spans="1:87" ht="30" customHeight="1" x14ac:dyDescent="0.25">
      <c r="A8" s="7" t="s">
        <v>86</v>
      </c>
      <c r="B8" s="7" t="s">
        <v>87</v>
      </c>
      <c r="C8" s="8" t="s">
        <v>95</v>
      </c>
      <c r="D8" s="9"/>
      <c r="E8" s="10">
        <f>COUNTIF('[1]Booking Apr'!B:B,'[1]FY Target Sheet'!C8)-COUNTIF('[1]Cancel Apr'!A:A,'[1]FY Target Sheet'!C8)</f>
        <v>0</v>
      </c>
      <c r="F8" s="11"/>
      <c r="G8" s="11"/>
      <c r="H8" s="13"/>
      <c r="I8" s="10">
        <f>SUMIF('[1]Booking Apr'!B:B,'[1]FY Target Sheet'!C8,'[1]Booking Apr'!K:K)-SUMIF('[1]Cancel Apr'!A:A,'[1]FY Target Sheet'!C8,'[1]Cancel Apr'!F:F)</f>
        <v>0</v>
      </c>
      <c r="J8" s="13"/>
      <c r="K8" s="10">
        <f>SUMIF('[1]Booking Apr'!B:B,C8,'[1]Booking Apr'!L:L)-SUMIF('[1]Cancel Apr'!A:A,'[1]FY Target Sheet'!C8,'[1]Cancel Apr'!G:G)</f>
        <v>0</v>
      </c>
      <c r="L8" s="13">
        <v>46511600.000000007</v>
      </c>
      <c r="M8" s="10">
        <f>SUMIF('[1]Coll Apr'!A:A,C8,'[1]Coll Apr'!J:J)*100000</f>
        <v>43478000</v>
      </c>
      <c r="N8" s="13">
        <f>'[1]Construction Budget'!D20*10000000</f>
        <v>22000281.600000001</v>
      </c>
      <c r="O8" s="18">
        <f>'[1]Construction Budget'!D21*10000000</f>
        <v>30152850.062995002</v>
      </c>
      <c r="P8" s="16"/>
      <c r="Q8" s="10">
        <f>COUNTIF('[1]Booking May'!B:B,'[1]FY Target Sheet'!C8)-COUNTIF('[1]Cancel May'!A:A,'[1]FY Target Sheet'!C8)</f>
        <v>0</v>
      </c>
      <c r="R8" s="11"/>
      <c r="S8" s="12"/>
      <c r="T8" s="13"/>
      <c r="U8" s="10">
        <f>SUMIF('[1]Booking May'!B:B,'[1]FY Target Sheet'!C8,'[1]Booking May'!K:K)-SUMIF('[1]Cancel May'!A:A,'[1]FY Target Sheet'!C8,'[1]Cancel May'!F:F)</f>
        <v>0</v>
      </c>
      <c r="V8" s="13"/>
      <c r="W8" s="10">
        <f>SUMIF('[1]Booking May'!B:B,C8,'[1]Booking May'!L:L)-SUMIF('[1]Cancel May'!A:A,'[1]FY Target Sheet'!C8,'[1]Cancel May'!G:G)</f>
        <v>0</v>
      </c>
      <c r="X8" s="13">
        <v>35272800.000000015</v>
      </c>
      <c r="Y8" s="13">
        <f>SUMIF('[1]Coll May'!A:A,C8,'[1]Coll May'!J:J)*100000</f>
        <v>61047000</v>
      </c>
      <c r="Z8" s="13">
        <f>'[1]Construction Budget'!E20*10000000</f>
        <v>30000383.999999996</v>
      </c>
      <c r="AA8" s="15">
        <f>'[1]Construction Budget'!E21*10000000</f>
        <v>25144411.707120001</v>
      </c>
      <c r="AB8" s="13"/>
      <c r="AC8" s="11"/>
      <c r="AD8" s="13"/>
      <c r="AE8" s="13"/>
      <c r="AF8" s="13">
        <v>21446000.000000019</v>
      </c>
      <c r="AG8" s="13">
        <f>'[1]Construction Budget'!F20*10000000</f>
        <v>36000460.799999997</v>
      </c>
      <c r="AH8" s="13"/>
      <c r="AI8" s="11"/>
      <c r="AJ8" s="13"/>
      <c r="AK8" s="13"/>
      <c r="AL8" s="13">
        <v>23590600.000000019</v>
      </c>
      <c r="AM8" s="13">
        <f>'[1]Construction Budget'!G20*10000000</f>
        <v>34000435.200000003</v>
      </c>
      <c r="AN8" s="13"/>
      <c r="AO8" s="11"/>
      <c r="AP8" s="13"/>
      <c r="AQ8" s="13"/>
      <c r="AR8" s="13">
        <v>25735200.000000019</v>
      </c>
      <c r="AS8" s="13">
        <f>'[1]Construction Budget'!H20*10000000</f>
        <v>46000588.800000004</v>
      </c>
      <c r="AT8" s="13"/>
      <c r="AU8" s="11"/>
      <c r="AV8" s="13"/>
      <c r="AW8" s="13"/>
      <c r="AX8" s="13">
        <v>64338000.00000006</v>
      </c>
      <c r="AY8" s="13">
        <f>'[1]Construction Budget'!I20*10000000</f>
        <v>32000409.599999998</v>
      </c>
      <c r="AZ8" s="13"/>
      <c r="BA8" s="13"/>
      <c r="BB8" s="13"/>
      <c r="BC8" s="13"/>
      <c r="BD8" s="13">
        <v>135109800.00000009</v>
      </c>
      <c r="BE8" s="13">
        <f>'[1]Construction Budget'!J20*10000000</f>
        <v>0</v>
      </c>
      <c r="BF8" s="13"/>
      <c r="BG8" s="13"/>
      <c r="BH8" s="13"/>
      <c r="BI8" s="13"/>
      <c r="BJ8" s="13">
        <v>0</v>
      </c>
      <c r="BK8" s="13">
        <f>'[1]Construction Budget'!K20*10000000</f>
        <v>0</v>
      </c>
      <c r="BL8" s="13"/>
      <c r="BM8" s="13"/>
      <c r="BN8" s="13"/>
      <c r="BO8" s="13"/>
      <c r="BP8" s="13">
        <v>0</v>
      </c>
      <c r="BQ8" s="13">
        <f>'[1]Construction Budget'!L20*10000000</f>
        <v>0</v>
      </c>
      <c r="BR8" s="13"/>
      <c r="BS8" s="13"/>
      <c r="BT8" s="13"/>
      <c r="BU8" s="13"/>
      <c r="BV8" s="13">
        <v>0</v>
      </c>
      <c r="BW8" s="13">
        <f>'[1]Construction Budget'!M20*10000000</f>
        <v>0</v>
      </c>
      <c r="BX8" s="13"/>
      <c r="BY8" s="13"/>
      <c r="BZ8" s="13"/>
      <c r="CA8" s="13"/>
      <c r="CB8" s="13">
        <v>0</v>
      </c>
      <c r="CC8" s="13">
        <f>'[1]Construction Budget'!N20*10000000</f>
        <v>0</v>
      </c>
      <c r="CD8" s="13"/>
      <c r="CE8" s="13"/>
      <c r="CF8" s="13"/>
      <c r="CG8" s="13"/>
      <c r="CH8" s="17">
        <v>0</v>
      </c>
      <c r="CI8" s="13">
        <f>'[1]Construction Budget'!O20*10000000</f>
        <v>0</v>
      </c>
    </row>
    <row r="9" spans="1:87" ht="30" customHeight="1" x14ac:dyDescent="0.25">
      <c r="A9" s="7" t="s">
        <v>86</v>
      </c>
      <c r="B9" s="7" t="s">
        <v>87</v>
      </c>
      <c r="C9" s="8" t="s">
        <v>96</v>
      </c>
      <c r="D9" s="9">
        <v>4</v>
      </c>
      <c r="E9" s="10">
        <f>COUNTIF('[1]Booking Apr'!B:B,'[1]FY Target Sheet'!C9)-COUNTIF('[1]Cancel Apr'!A:A,'[1]FY Target Sheet'!C9)</f>
        <v>3</v>
      </c>
      <c r="F9" s="11">
        <v>6930.7027992852891</v>
      </c>
      <c r="G9" s="12">
        <f>(K9/I9)</f>
        <v>6766.7550065019504</v>
      </c>
      <c r="H9" s="13">
        <v>5037</v>
      </c>
      <c r="I9" s="10">
        <f>SUMIF('[1]Booking Apr'!B:B,'[1]FY Target Sheet'!C9,'[1]Booking Apr'!K:K)-SUMIF('[1]Cancel Apr'!A:A,'[1]FY Target Sheet'!C9,'[1]Cancel Apr'!F:F)</f>
        <v>3845</v>
      </c>
      <c r="J9" s="13">
        <v>34909950</v>
      </c>
      <c r="K9" s="10">
        <f>SUMIF('[1]Booking Apr'!B:B,C9,'[1]Booking Apr'!L:L)-SUMIF('[1]Cancel Apr'!A:A,'[1]FY Target Sheet'!C9,'[1]Cancel Apr'!G:G)</f>
        <v>26018173</v>
      </c>
      <c r="L9" s="13">
        <v>16961620.000000004</v>
      </c>
      <c r="M9" s="10">
        <f>SUMIF('[1]Coll Apr'!A:A,C9,'[1]Coll Apr'!J:J)*100000</f>
        <v>14163000</v>
      </c>
      <c r="N9" s="13">
        <f>'[1]Construction Budget'!D23*10000000</f>
        <v>21507854.158131909</v>
      </c>
      <c r="O9" s="18">
        <f>'[1]Construction Budget'!D24*10000000</f>
        <v>9451000</v>
      </c>
      <c r="P9" s="16">
        <v>5</v>
      </c>
      <c r="Q9" s="10">
        <f>COUNTIF('[1]Booking May'!B:B,'[1]FY Target Sheet'!C9)-COUNTIF('[1]Cancel May'!A:A,'[1]FY Target Sheet'!C9)</f>
        <v>8</v>
      </c>
      <c r="R9" s="11">
        <v>6972.0171094101752</v>
      </c>
      <c r="S9" s="12">
        <f t="shared" si="1"/>
        <v>6844.9636327503977</v>
      </c>
      <c r="T9" s="13">
        <v>6663</v>
      </c>
      <c r="U9" s="10">
        <f>SUMIF('[1]Booking May'!B:B,'[1]FY Target Sheet'!C9,'[1]Booking May'!K:K)-SUMIF('[1]Cancel May'!A:A,'[1]FY Target Sheet'!C9,'[1]Cancel May'!F:F)</f>
        <v>10064</v>
      </c>
      <c r="V9" s="13">
        <v>46454550</v>
      </c>
      <c r="W9" s="10">
        <f>SUMIF('[1]Booking May'!B:B,C9,'[1]Booking May'!L:L)-SUMIF('[1]Cancel May'!A:A,'[1]FY Target Sheet'!C9,'[1]Cancel May'!G:G)</f>
        <v>68887714</v>
      </c>
      <c r="X9" s="13">
        <v>28976593.333333336</v>
      </c>
      <c r="Y9" s="13">
        <f>SUMIF('[1]Coll May'!A:A,C9,'[1]Coll May'!J:J)*100000</f>
        <v>8577000</v>
      </c>
      <c r="Z9" s="13">
        <f>'[1]Construction Budget'!E23*10000000</f>
        <v>32261781.237197872</v>
      </c>
      <c r="AA9" s="15">
        <f>'[1]Construction Budget'!E24*10000000</f>
        <v>3799999.9999999902</v>
      </c>
      <c r="AB9" s="13">
        <v>6</v>
      </c>
      <c r="AC9" s="11">
        <v>6997.1226927252983</v>
      </c>
      <c r="AD9" s="13">
        <v>8289</v>
      </c>
      <c r="AE9" s="13">
        <v>57999150</v>
      </c>
      <c r="AF9" s="13">
        <v>30319144.583333336</v>
      </c>
      <c r="AG9" s="13">
        <f>'[1]Construction Budget'!F23*10000000</f>
        <v>33460075.968865223</v>
      </c>
      <c r="AH9" s="13">
        <v>6</v>
      </c>
      <c r="AI9" s="11">
        <v>6975.0769230769229</v>
      </c>
      <c r="AJ9" s="13">
        <v>7800</v>
      </c>
      <c r="AK9" s="13">
        <v>54405600</v>
      </c>
      <c r="AL9" s="13">
        <v>35066633.333333336</v>
      </c>
      <c r="AM9" s="13">
        <f>'[1]Construction Budget'!G23*10000000</f>
        <v>47132926.112249084</v>
      </c>
      <c r="AN9" s="13">
        <v>6</v>
      </c>
      <c r="AO9" s="11">
        <v>7070.0033771661347</v>
      </c>
      <c r="AP9" s="13">
        <v>8527.86</v>
      </c>
      <c r="AQ9" s="13">
        <v>60291999</v>
      </c>
      <c r="AR9" s="13">
        <v>38100332.033333339</v>
      </c>
      <c r="AS9" s="13">
        <f>'[1]Construction Budget'!H23*10000000</f>
        <v>52141183.580499791</v>
      </c>
      <c r="AT9" s="13">
        <v>8</v>
      </c>
      <c r="AU9" s="11">
        <v>7020.0306538665973</v>
      </c>
      <c r="AV9" s="13">
        <v>10497.86</v>
      </c>
      <c r="AW9" s="13">
        <v>73695299</v>
      </c>
      <c r="AX9" s="13">
        <v>43586716.908333339</v>
      </c>
      <c r="AY9" s="13">
        <f>'[1]Construction Budget'!I23*10000000</f>
        <v>55428812.716099955</v>
      </c>
      <c r="AZ9" s="13">
        <v>13</v>
      </c>
      <c r="BA9" s="13">
        <v>7039.2532139512623</v>
      </c>
      <c r="BB9" s="13">
        <v>16252.58</v>
      </c>
      <c r="BC9" s="13">
        <v>114406026</v>
      </c>
      <c r="BD9" s="13">
        <v>57539866.983333334</v>
      </c>
      <c r="BE9" s="13">
        <f>'[1]Construction Budget'!J23*10000000</f>
        <v>55613165.751741089</v>
      </c>
      <c r="BF9" s="13">
        <v>9</v>
      </c>
      <c r="BG9" s="13">
        <v>7106.6327686956183</v>
      </c>
      <c r="BH9" s="13">
        <v>12177.72</v>
      </c>
      <c r="BI9" s="13">
        <v>86542584</v>
      </c>
      <c r="BJ9" s="13">
        <v>65761914.808333337</v>
      </c>
      <c r="BK9" s="13">
        <f>'[1]Construction Budget'!K23*10000000</f>
        <v>55797518.787382238</v>
      </c>
      <c r="BL9" s="13">
        <v>8</v>
      </c>
      <c r="BM9" s="13">
        <v>7094.2128768142911</v>
      </c>
      <c r="BN9" s="13">
        <v>10748</v>
      </c>
      <c r="BO9" s="13">
        <v>76248600</v>
      </c>
      <c r="BP9" s="13">
        <v>71330048.75833334</v>
      </c>
      <c r="BQ9" s="13">
        <f>'[1]Construction Budget'!L23*10000000</f>
        <v>43200061.351904958</v>
      </c>
      <c r="BR9" s="13">
        <v>7</v>
      </c>
      <c r="BS9" s="13">
        <v>7159.4237534414196</v>
      </c>
      <c r="BT9" s="13">
        <v>9414.7199999999993</v>
      </c>
      <c r="BU9" s="13">
        <v>67403970</v>
      </c>
      <c r="BV9" s="13">
        <v>75970713.683333322</v>
      </c>
      <c r="BW9" s="13">
        <f>'[1]Construction Budget'!M23*10000000</f>
        <v>25625071.954117168</v>
      </c>
      <c r="BX9" s="13">
        <v>6</v>
      </c>
      <c r="BY9" s="13">
        <v>7099.4011809490512</v>
      </c>
      <c r="BZ9" s="13">
        <v>7549.86</v>
      </c>
      <c r="CA9" s="13">
        <v>53599485</v>
      </c>
      <c r="CB9" s="13">
        <v>84700860.683333322</v>
      </c>
      <c r="CC9" s="13">
        <f>'[1]Construction Budget'!N23*10000000</f>
        <v>18681107.611634575</v>
      </c>
      <c r="CD9" s="13">
        <v>9</v>
      </c>
      <c r="CE9" s="13">
        <v>7101.0462136654942</v>
      </c>
      <c r="CF9" s="13">
        <v>11449.86</v>
      </c>
      <c r="CG9" s="13">
        <v>81305985</v>
      </c>
      <c r="CH9" s="17">
        <v>97188189.908333346</v>
      </c>
      <c r="CI9" s="13">
        <f>'[1]Construction Budget'!O23*10000000</f>
        <v>59156840.770176172</v>
      </c>
    </row>
    <row r="10" spans="1:87" ht="30" customHeight="1" x14ac:dyDescent="0.25">
      <c r="A10" s="7" t="s">
        <v>86</v>
      </c>
      <c r="B10" s="7" t="s">
        <v>87</v>
      </c>
      <c r="C10" s="8" t="s">
        <v>97</v>
      </c>
      <c r="D10" s="9"/>
      <c r="E10" s="10">
        <f>COUNTIF('[1]Booking Apr'!B:B,'[1]FY Target Sheet'!C10)-COUNTIF('[1]Cancel Apr'!A:A,'[1]FY Target Sheet'!C10)</f>
        <v>0</v>
      </c>
      <c r="F10" s="11"/>
      <c r="G10" s="11"/>
      <c r="H10" s="13"/>
      <c r="I10" s="10">
        <f>SUMIF('[1]Booking Apr'!B:B,'[1]FY Target Sheet'!C10,'[1]Booking Apr'!K:K)-SUMIF('[1]Cancel Apr'!A:A,'[1]FY Target Sheet'!C10,'[1]Cancel Apr'!F:F)</f>
        <v>0</v>
      </c>
      <c r="J10" s="13"/>
      <c r="K10" s="10">
        <f>SUMIF('[1]Booking Apr'!B:B,C10,'[1]Booking Apr'!L:L)-SUMIF('[1]Cancel Apr'!A:A,'[1]FY Target Sheet'!C10,'[1]Cancel Apr'!G:G)</f>
        <v>0</v>
      </c>
      <c r="L10" s="13"/>
      <c r="M10" s="10">
        <f>SUMIF('[1]Coll Apr'!A:A,C10,'[1]Coll Apr'!J:J)*100000</f>
        <v>0</v>
      </c>
      <c r="N10" s="13">
        <f>'[1]Construction Budget'!D26*10000000</f>
        <v>0</v>
      </c>
      <c r="O10" s="18">
        <f>'[1]Construction Budget'!D27*10000000</f>
        <v>2635577.4419999998</v>
      </c>
      <c r="P10" s="16"/>
      <c r="Q10" s="10">
        <f>COUNTIF('[1]Booking May'!B:B,'[1]FY Target Sheet'!C10)-COUNTIF('[1]Cancel May'!A:A,'[1]FY Target Sheet'!C10)</f>
        <v>0</v>
      </c>
      <c r="R10" s="11"/>
      <c r="S10" s="12"/>
      <c r="T10" s="13"/>
      <c r="U10" s="10">
        <f>SUMIF('[1]Booking May'!B:B,'[1]FY Target Sheet'!C10,'[1]Booking May'!K:K)-SUMIF('[1]Cancel May'!A:A,'[1]FY Target Sheet'!C10,'[1]Cancel May'!F:F)</f>
        <v>0</v>
      </c>
      <c r="V10" s="13"/>
      <c r="W10" s="10">
        <f>SUMIF('[1]Booking May'!B:B,C10,'[1]Booking May'!L:L)-SUMIF('[1]Cancel May'!A:A,'[1]FY Target Sheet'!C10,'[1]Cancel May'!G:G)</f>
        <v>0</v>
      </c>
      <c r="X10" s="13"/>
      <c r="Y10" s="13">
        <f>SUMIF('[1]Coll May'!A:A,C10,'[1]Coll May'!J:J)*100000</f>
        <v>0</v>
      </c>
      <c r="Z10" s="13">
        <f>'[1]Construction Budget'!E26*10000000</f>
        <v>0</v>
      </c>
      <c r="AA10" s="15">
        <f>'[1]Construction Budget'!E27*10000000</f>
        <v>658894.36049999995</v>
      </c>
      <c r="AB10" s="13"/>
      <c r="AC10" s="11"/>
      <c r="AD10" s="13"/>
      <c r="AE10" s="13"/>
      <c r="AF10" s="13"/>
      <c r="AG10" s="13">
        <f>'[1]Construction Budget'!F26*10000000</f>
        <v>0</v>
      </c>
      <c r="AH10" s="13"/>
      <c r="AI10" s="11"/>
      <c r="AJ10" s="13"/>
      <c r="AK10" s="13"/>
      <c r="AL10" s="13"/>
      <c r="AM10" s="13">
        <f>'[1]Construction Budget'!G26*10000000</f>
        <v>0</v>
      </c>
      <c r="AN10" s="13"/>
      <c r="AO10" s="11"/>
      <c r="AP10" s="13"/>
      <c r="AQ10" s="13"/>
      <c r="AR10" s="13"/>
      <c r="AS10" s="13">
        <f>'[1]Construction Budget'!H26*10000000</f>
        <v>2200028.1599999997</v>
      </c>
      <c r="AT10" s="13"/>
      <c r="AU10" s="11"/>
      <c r="AV10" s="13"/>
      <c r="AW10" s="13"/>
      <c r="AX10" s="13"/>
      <c r="AY10" s="13">
        <f>'[1]Construction Budget'!I26*10000000</f>
        <v>2800035.8400000003</v>
      </c>
      <c r="AZ10" s="13"/>
      <c r="BA10" s="13"/>
      <c r="BB10" s="13"/>
      <c r="BC10" s="13"/>
      <c r="BD10" s="13"/>
      <c r="BE10" s="13">
        <f>'[1]Construction Budget'!J26*10000000</f>
        <v>3200040.96</v>
      </c>
      <c r="BF10" s="13"/>
      <c r="BG10" s="13"/>
      <c r="BH10" s="13"/>
      <c r="BI10" s="13"/>
      <c r="BJ10" s="13"/>
      <c r="BK10" s="13">
        <f>'[1]Construction Budget'!K26*10000000</f>
        <v>1800023.0399999998</v>
      </c>
      <c r="BL10" s="13"/>
      <c r="BM10" s="13"/>
      <c r="BN10" s="13"/>
      <c r="BO10" s="13"/>
      <c r="BP10" s="13"/>
      <c r="BQ10" s="13">
        <f>'[1]Construction Budget'!L26*10000000</f>
        <v>3000038.3999999994</v>
      </c>
      <c r="BR10" s="13"/>
      <c r="BS10" s="13"/>
      <c r="BT10" s="13"/>
      <c r="BU10" s="13"/>
      <c r="BV10" s="13"/>
      <c r="BW10" s="13">
        <f>'[1]Construction Budget'!M26*10000000</f>
        <v>2600033.2800000003</v>
      </c>
      <c r="BX10" s="13"/>
      <c r="BY10" s="13"/>
      <c r="BZ10" s="13"/>
      <c r="CA10" s="13"/>
      <c r="CB10" s="13"/>
      <c r="CC10" s="13">
        <f>'[1]Construction Budget'!N26*10000000</f>
        <v>2400030.7199999997</v>
      </c>
      <c r="CD10" s="13"/>
      <c r="CE10" s="13"/>
      <c r="CF10" s="13"/>
      <c r="CG10" s="13"/>
      <c r="CH10" s="17"/>
      <c r="CI10" s="13">
        <f>'[1]Construction Budget'!O26*10000000</f>
        <v>2000025.5999999999</v>
      </c>
    </row>
    <row r="11" spans="1:87" ht="30" customHeight="1" x14ac:dyDescent="0.25">
      <c r="A11" s="7" t="s">
        <v>86</v>
      </c>
      <c r="B11" s="7" t="s">
        <v>87</v>
      </c>
      <c r="C11" s="8" t="s">
        <v>98</v>
      </c>
      <c r="D11" s="9">
        <v>8</v>
      </c>
      <c r="E11" s="10">
        <f>COUNTIF('[1]Booking Apr'!B:B,'[1]FY Target Sheet'!C11)-COUNTIF('[1]Cancel Apr'!A:A,'[1]FY Target Sheet'!C11)</f>
        <v>7</v>
      </c>
      <c r="F11" s="11">
        <v>5812.5</v>
      </c>
      <c r="G11" s="12">
        <f t="shared" ref="G11:G12" si="2">(K11/I11)</f>
        <v>5790.9594417793287</v>
      </c>
      <c r="H11" s="13">
        <v>7864</v>
      </c>
      <c r="I11" s="10">
        <f>SUMIF('[1]Booking Apr'!B:B,'[1]FY Target Sheet'!C11,'[1]Booking Apr'!K:K)-SUMIF('[1]Cancel Apr'!A:A,'[1]FY Target Sheet'!C11,'[1]Cancel Apr'!F:F)</f>
        <v>6879</v>
      </c>
      <c r="J11" s="13">
        <v>45709500</v>
      </c>
      <c r="K11" s="10">
        <f>SUMIF('[1]Booking Apr'!B:B,C11,'[1]Booking Apr'!L:L)-SUMIF('[1]Cancel Apr'!A:A,'[1]FY Target Sheet'!C11,'[1]Cancel Apr'!G:G)</f>
        <v>39836010</v>
      </c>
      <c r="L11" s="13">
        <v>45789116.666666664</v>
      </c>
      <c r="M11" s="10">
        <f>SUMIF('[1]Coll Apr'!A:A,C11,'[1]Coll Apr'!J:J)*100000</f>
        <v>90754000.000000015</v>
      </c>
      <c r="N11" s="13">
        <f>'[1]Construction Budget'!D29*10000000</f>
        <v>10977574.445498852</v>
      </c>
      <c r="O11" s="18">
        <f>'[1]Construction Budget'!D30*10000000</f>
        <v>16909780.913312003</v>
      </c>
      <c r="P11" s="16">
        <v>6</v>
      </c>
      <c r="Q11" s="10">
        <f>COUNTIF('[1]Booking May'!B:B,'[1]FY Target Sheet'!C11)-COUNTIF('[1]Cancel May'!A:A,'[1]FY Target Sheet'!C11)</f>
        <v>6</v>
      </c>
      <c r="R11" s="11">
        <v>5900</v>
      </c>
      <c r="S11" s="12">
        <f t="shared" si="1"/>
        <v>5759.961316593146</v>
      </c>
      <c r="T11" s="13">
        <v>5898</v>
      </c>
      <c r="U11" s="10">
        <f>SUMIF('[1]Booking May'!B:B,'[1]FY Target Sheet'!C11,'[1]Booking May'!K:K)-SUMIF('[1]Cancel May'!A:A,'[1]FY Target Sheet'!C11,'[1]Cancel May'!F:F)</f>
        <v>5894</v>
      </c>
      <c r="V11" s="13">
        <v>34798200</v>
      </c>
      <c r="W11" s="10">
        <f>SUMIF('[1]Booking May'!B:B,C11,'[1]Booking May'!L:L)-SUMIF('[1]Cancel May'!A:A,'[1]FY Target Sheet'!C11,'[1]Cancel May'!G:G)</f>
        <v>33949212</v>
      </c>
      <c r="X11" s="13">
        <v>53412176.666666664</v>
      </c>
      <c r="Y11" s="13">
        <f>SUMIF('[1]Coll May'!A:A,C11,'[1]Coll May'!J:J)*100000</f>
        <v>52939000</v>
      </c>
      <c r="Z11" s="13">
        <f>'[1]Construction Budget'!E29*10000000</f>
        <v>11246585.33575668</v>
      </c>
      <c r="AA11" s="15">
        <f>'[1]Construction Budget'!E30*10000000</f>
        <v>13814687.090918999</v>
      </c>
      <c r="AB11" s="13">
        <v>5</v>
      </c>
      <c r="AC11" s="11">
        <v>6000</v>
      </c>
      <c r="AD11" s="13">
        <v>4915</v>
      </c>
      <c r="AE11" s="13">
        <v>29490000</v>
      </c>
      <c r="AF11" s="13">
        <v>56017126.666666672</v>
      </c>
      <c r="AG11" s="13">
        <f>'[1]Construction Budget'!F29*10000000</f>
        <v>11246585.33575668</v>
      </c>
      <c r="AH11" s="13">
        <v>5</v>
      </c>
      <c r="AI11" s="11">
        <v>5930</v>
      </c>
      <c r="AJ11" s="13">
        <v>4915</v>
      </c>
      <c r="AK11" s="13">
        <v>29145950</v>
      </c>
      <c r="AL11" s="13">
        <v>24016797.5</v>
      </c>
      <c r="AM11" s="13">
        <f>'[1]Construction Budget'!G29*10000000</f>
        <v>17278219.646470331</v>
      </c>
      <c r="AN11" s="13">
        <v>6</v>
      </c>
      <c r="AO11" s="11">
        <v>5825</v>
      </c>
      <c r="AP11" s="13">
        <v>5898</v>
      </c>
      <c r="AQ11" s="13">
        <v>34355850</v>
      </c>
      <c r="AR11" s="13">
        <v>28344455</v>
      </c>
      <c r="AS11" s="13">
        <f>'[1]Construction Budget'!H29*10000000</f>
        <v>15828616.867128821</v>
      </c>
      <c r="AT11" s="13">
        <v>7</v>
      </c>
      <c r="AU11" s="11">
        <v>5878.5714285714284</v>
      </c>
      <c r="AV11" s="13">
        <v>6881</v>
      </c>
      <c r="AW11" s="13">
        <v>40450450</v>
      </c>
      <c r="AX11" s="13">
        <v>32888372.499999996</v>
      </c>
      <c r="AY11" s="13">
        <f>'[1]Construction Budget'!I29*10000000</f>
        <v>17487718.411529124</v>
      </c>
      <c r="AZ11" s="13">
        <v>0</v>
      </c>
      <c r="BA11" s="13">
        <v>0</v>
      </c>
      <c r="BB11" s="13">
        <v>0</v>
      </c>
      <c r="BC11" s="13">
        <v>0</v>
      </c>
      <c r="BD11" s="13">
        <v>50518910</v>
      </c>
      <c r="BE11" s="13">
        <f>'[1]Construction Budget'!J29*10000000</f>
        <v>18681982.005050424</v>
      </c>
      <c r="BF11" s="13">
        <v>0</v>
      </c>
      <c r="BG11" s="13">
        <v>0</v>
      </c>
      <c r="BH11" s="13">
        <v>0</v>
      </c>
      <c r="BI11" s="13">
        <v>0</v>
      </c>
      <c r="BJ11" s="13">
        <v>55605935</v>
      </c>
      <c r="BK11" s="13">
        <f>'[1]Construction Budget'!K29*10000000</f>
        <v>14820127.610377496</v>
      </c>
      <c r="BL11" s="13">
        <v>0</v>
      </c>
      <c r="BM11" s="13">
        <v>0</v>
      </c>
      <c r="BN11" s="13">
        <v>0</v>
      </c>
      <c r="BO11" s="13">
        <v>0</v>
      </c>
      <c r="BP11" s="13">
        <v>52779810</v>
      </c>
      <c r="BQ11" s="13">
        <f>'[1]Construction Budget'!L29*10000000</f>
        <v>12090612.030302543</v>
      </c>
      <c r="BR11" s="13">
        <v>0</v>
      </c>
      <c r="BS11" s="13">
        <v>0</v>
      </c>
      <c r="BT11" s="13">
        <v>0</v>
      </c>
      <c r="BU11" s="13">
        <v>0</v>
      </c>
      <c r="BV11" s="13">
        <v>46235487.5</v>
      </c>
      <c r="BW11" s="13">
        <f>'[1]Construction Budget'!M29*10000000</f>
        <v>10398135.442716291</v>
      </c>
      <c r="BX11" s="13">
        <v>0</v>
      </c>
      <c r="BY11" s="13">
        <v>0</v>
      </c>
      <c r="BZ11" s="13">
        <v>0</v>
      </c>
      <c r="CA11" s="13">
        <v>0</v>
      </c>
      <c r="CB11" s="13">
        <v>35955765</v>
      </c>
      <c r="CC11" s="13">
        <f>'[1]Construction Budget'!N29*10000000</f>
        <v>8381156.9292136477</v>
      </c>
      <c r="CD11" s="13">
        <v>0</v>
      </c>
      <c r="CE11" s="13">
        <v>0</v>
      </c>
      <c r="CF11" s="13">
        <v>0</v>
      </c>
      <c r="CG11" s="13">
        <v>0</v>
      </c>
      <c r="CH11" s="17">
        <v>46235487.5</v>
      </c>
      <c r="CI11" s="13">
        <f>'[1]Construction Budget'!O29*10000000</f>
        <v>1564605.9401991218</v>
      </c>
    </row>
    <row r="12" spans="1:87" ht="30" customHeight="1" x14ac:dyDescent="0.25">
      <c r="A12" s="7" t="s">
        <v>86</v>
      </c>
      <c r="B12" s="7" t="s">
        <v>87</v>
      </c>
      <c r="C12" s="8" t="s">
        <v>99</v>
      </c>
      <c r="D12" s="19">
        <v>18</v>
      </c>
      <c r="E12" s="10">
        <f>COUNTIF('[1]Booking Apr'!B:B,'[1]FY Target Sheet'!C12)-COUNTIF('[1]Cancel Apr'!A:A,'[1]FY Target Sheet'!C12)</f>
        <v>5</v>
      </c>
      <c r="F12" s="11">
        <v>5916.7871834166799</v>
      </c>
      <c r="G12" s="12">
        <f t="shared" si="2"/>
        <v>5986.6978222483813</v>
      </c>
      <c r="H12" s="11">
        <v>24796</v>
      </c>
      <c r="I12" s="10">
        <f>SUMIF('[1]Booking Apr'!B:B,'[1]FY Target Sheet'!C12,'[1]Booking Apr'!K:K)-SUMIF('[1]Cancel Apr'!A:A,'[1]FY Target Sheet'!C12,'[1]Cancel Apr'!F:F)</f>
        <v>8495</v>
      </c>
      <c r="J12" s="11">
        <v>146712655</v>
      </c>
      <c r="K12" s="10">
        <f>SUMIF('[1]Booking Apr'!B:B,C12,'[1]Booking Apr'!L:L)-SUMIF('[1]Cancel Apr'!A:A,'[1]FY Target Sheet'!C12,'[1]Cancel Apr'!G:G)</f>
        <v>50856998</v>
      </c>
      <c r="L12" s="11">
        <v>51534025.25</v>
      </c>
      <c r="M12" s="10">
        <f>SUMIF('[1]Coll Apr'!A:A,C12,'[1]Coll Apr'!J:J)*100000</f>
        <v>89573000</v>
      </c>
      <c r="N12" s="11">
        <f>'[1]Construction Budget'!D32*10000000</f>
        <v>52383569.258940957</v>
      </c>
      <c r="O12" s="20">
        <f>'[1]Construction Budget'!D33*10000000</f>
        <v>37366644.630400002</v>
      </c>
      <c r="P12" s="21">
        <v>8</v>
      </c>
      <c r="Q12" s="10">
        <f>COUNTIF('[1]Booking May'!B:B,'[1]FY Target Sheet'!C12)-COUNTIF('[1]Cancel May'!A:A,'[1]FY Target Sheet'!C12)</f>
        <v>10</v>
      </c>
      <c r="R12" s="11">
        <v>5924.7482104211749</v>
      </c>
      <c r="S12" s="12">
        <f t="shared" si="1"/>
        <v>5878.7525600835943</v>
      </c>
      <c r="T12" s="11">
        <v>12014</v>
      </c>
      <c r="U12" s="10">
        <f>SUMIF('[1]Booking May'!B:B,'[1]FY Target Sheet'!C12,'[1]Booking May'!K:K)-SUMIF('[1]Cancel May'!A:A,'[1]FY Target Sheet'!C12,'[1]Cancel May'!F:F)</f>
        <v>14355</v>
      </c>
      <c r="V12" s="11">
        <v>71179925</v>
      </c>
      <c r="W12" s="10">
        <f>SUMIF('[1]Booking May'!B:B,C12,'[1]Booking May'!L:L)-SUMIF('[1]Cancel May'!A:A,'[1]FY Target Sheet'!C12,'[1]Cancel May'!G:G)</f>
        <v>84389493</v>
      </c>
      <c r="X12" s="11">
        <v>64306080.416666672</v>
      </c>
      <c r="Y12" s="13">
        <f>SUMIF('[1]Coll May'!A:A,C12,'[1]Coll May'!J:J)*100000</f>
        <v>62561000</v>
      </c>
      <c r="Z12" s="11">
        <f>'[1]Construction Budget'!E32*10000000</f>
        <v>57546944.970405199</v>
      </c>
      <c r="AA12" s="15">
        <f>'[1]Construction Budget'!E33*10000000</f>
        <v>34447375.516171999</v>
      </c>
      <c r="AB12" s="11">
        <v>12</v>
      </c>
      <c r="AC12" s="11">
        <v>5914.7008652657605</v>
      </c>
      <c r="AD12" s="11">
        <v>16180</v>
      </c>
      <c r="AE12" s="11">
        <v>95699860</v>
      </c>
      <c r="AF12" s="11">
        <v>58490495.833333328</v>
      </c>
      <c r="AG12" s="11">
        <f>'[1]Construction Budget'!F32*10000000</f>
        <v>97656809.460531384</v>
      </c>
      <c r="AH12" s="11">
        <v>12</v>
      </c>
      <c r="AI12" s="11">
        <v>5991.3003708281831</v>
      </c>
      <c r="AJ12" s="11">
        <v>16180</v>
      </c>
      <c r="AK12" s="11">
        <v>96939240</v>
      </c>
      <c r="AL12" s="11">
        <v>69999877</v>
      </c>
      <c r="AM12" s="11">
        <f>'[1]Construction Budget'!G32*10000000</f>
        <v>76170244.438311979</v>
      </c>
      <c r="AN12" s="11">
        <v>22</v>
      </c>
      <c r="AO12" s="11">
        <v>5993.8736072423399</v>
      </c>
      <c r="AP12" s="11">
        <v>31592</v>
      </c>
      <c r="AQ12" s="11">
        <v>189358455</v>
      </c>
      <c r="AR12" s="11">
        <v>88069614.083333343</v>
      </c>
      <c r="AS12" s="11">
        <f>'[1]Construction Budget'!H32*10000000</f>
        <v>87151238.088956997</v>
      </c>
      <c r="AT12" s="11">
        <v>22</v>
      </c>
      <c r="AU12" s="11">
        <v>5993.8736072423399</v>
      </c>
      <c r="AV12" s="11">
        <v>31592</v>
      </c>
      <c r="AW12" s="11">
        <v>189358455</v>
      </c>
      <c r="AX12" s="11">
        <v>99669826.833333343</v>
      </c>
      <c r="AY12" s="11">
        <f>'[1]Construction Budget'!I32*10000000</f>
        <v>84852124.463509351</v>
      </c>
      <c r="AZ12" s="11">
        <v>22</v>
      </c>
      <c r="BA12" s="11">
        <v>6177.3450074035927</v>
      </c>
      <c r="BB12" s="11">
        <v>31066</v>
      </c>
      <c r="BC12" s="11">
        <v>191905400</v>
      </c>
      <c r="BD12" s="11">
        <v>118733019.58333336</v>
      </c>
      <c r="BE12" s="11">
        <f>'[1]Construction Budget'!J32*10000000</f>
        <v>117147369.3899104</v>
      </c>
      <c r="BF12" s="11">
        <v>12</v>
      </c>
      <c r="BG12" s="11">
        <v>6179.5786908077998</v>
      </c>
      <c r="BH12" s="11">
        <v>17232</v>
      </c>
      <c r="BI12" s="11">
        <v>106486500</v>
      </c>
      <c r="BJ12" s="11">
        <v>130093618.33333333</v>
      </c>
      <c r="BK12" s="11">
        <f>'[1]Construction Budget'!K32*10000000</f>
        <v>94856488.298173249</v>
      </c>
      <c r="BL12" s="11">
        <v>14</v>
      </c>
      <c r="BM12" s="11">
        <v>6176.0343242414956</v>
      </c>
      <c r="BN12" s="11">
        <v>19578</v>
      </c>
      <c r="BO12" s="11">
        <v>120914400</v>
      </c>
      <c r="BP12" s="11">
        <v>146555680.83333331</v>
      </c>
      <c r="BQ12" s="11">
        <f>'[1]Construction Budget'!L32*10000000</f>
        <v>86468350.36576958</v>
      </c>
      <c r="BR12" s="11">
        <v>13</v>
      </c>
      <c r="BS12" s="11">
        <v>6177.6935615321927</v>
      </c>
      <c r="BT12" s="11">
        <v>18405</v>
      </c>
      <c r="BU12" s="11">
        <v>113700450</v>
      </c>
      <c r="BV12" s="11">
        <v>172679908.5</v>
      </c>
      <c r="BW12" s="11">
        <f>'[1]Construction Budget'!M32*10000000</f>
        <v>87742761.102556005</v>
      </c>
      <c r="BX12" s="11">
        <v>13</v>
      </c>
      <c r="BY12" s="11">
        <v>6190.9592389509153</v>
      </c>
      <c r="BZ12" s="11">
        <v>45411</v>
      </c>
      <c r="CA12" s="11">
        <v>281137650</v>
      </c>
      <c r="CB12" s="11">
        <v>172550231.75</v>
      </c>
      <c r="CC12" s="11">
        <f>'[1]Construction Budget'!N32*10000000</f>
        <v>76389840.739517286</v>
      </c>
      <c r="CD12" s="11">
        <v>12</v>
      </c>
      <c r="CE12" s="11">
        <v>6175.4249970070632</v>
      </c>
      <c r="CF12" s="11">
        <v>16706</v>
      </c>
      <c r="CG12" s="11">
        <v>103166650</v>
      </c>
      <c r="CH12" s="11">
        <v>192506199.25</v>
      </c>
      <c r="CI12" s="11">
        <f>'[1]Construction Budget'!O32*10000000</f>
        <v>81647059.423417583</v>
      </c>
    </row>
    <row r="13" spans="1:87" ht="30" customHeight="1" x14ac:dyDescent="0.25">
      <c r="A13" s="7" t="s">
        <v>86</v>
      </c>
      <c r="B13" s="7" t="s">
        <v>87</v>
      </c>
      <c r="C13" s="8" t="s">
        <v>100</v>
      </c>
      <c r="D13" s="19"/>
      <c r="E13" s="10">
        <f>COUNTIF('[1]Booking Apr'!B:B,'[1]FY Target Sheet'!C13)-COUNTIF('[1]Cancel Apr'!A:A,'[1]FY Target Sheet'!C13)</f>
        <v>0</v>
      </c>
      <c r="F13" s="11"/>
      <c r="G13" s="11"/>
      <c r="H13" s="11"/>
      <c r="I13" s="10">
        <f>SUMIF('[1]Booking Apr'!B:B,'[1]FY Target Sheet'!C13,'[1]Booking Apr'!K:K)-SUMIF('[1]Cancel Apr'!A:A,'[1]FY Target Sheet'!C13,'[1]Cancel Apr'!F:F)</f>
        <v>0</v>
      </c>
      <c r="J13" s="11"/>
      <c r="K13" s="10">
        <f>SUMIF('[1]Booking Apr'!B:B,C13,'[1]Booking Apr'!L:L)-SUMIF('[1]Cancel Apr'!A:A,'[1]FY Target Sheet'!C13,'[1]Cancel Apr'!G:G)</f>
        <v>0</v>
      </c>
      <c r="L13" s="11"/>
      <c r="M13" s="10">
        <f>SUMIF('[1]Coll Apr'!A:A,C13,'[1]Coll Apr'!J:J)</f>
        <v>0</v>
      </c>
      <c r="N13" s="11">
        <f>'[1]Construction Budget'!D35*10000000</f>
        <v>5046916.2054405045</v>
      </c>
      <c r="O13" s="20">
        <f>'[1]Construction Budget'!D36*10000000</f>
        <v>0</v>
      </c>
      <c r="P13" s="21"/>
      <c r="Q13" s="10">
        <f>COUNTIF('[1]Booking May'!B:B,'[1]FY Target Sheet'!C13)-COUNTIF('[1]Cancel May'!A:A,'[1]FY Target Sheet'!C13)</f>
        <v>0</v>
      </c>
      <c r="R13" s="11"/>
      <c r="S13" s="12"/>
      <c r="T13" s="11"/>
      <c r="U13" s="10">
        <f>SUMIF('[1]Booking May'!B:B,'[1]FY Target Sheet'!C13,'[1]Booking May'!K:K)-SUMIF('[1]Cancel May'!A:A,'[1]FY Target Sheet'!C13,'[1]Cancel May'!F:F)</f>
        <v>0</v>
      </c>
      <c r="V13" s="11"/>
      <c r="W13" s="10">
        <f>SUMIF('[1]Booking May'!B:B,C13,'[1]Booking May'!L:L)-SUMIF('[1]Cancel May'!A:A,'[1]FY Target Sheet'!C13,'[1]Cancel May'!G:G)</f>
        <v>0</v>
      </c>
      <c r="X13" s="11"/>
      <c r="Y13" s="13">
        <f>SUMIF('[1]Coll May'!A:A,C13,'[1]Coll May'!J:J)*100000</f>
        <v>0</v>
      </c>
      <c r="Z13" s="11">
        <f>'[1]Construction Budget'!E35*10000000</f>
        <v>7570374.3081607576</v>
      </c>
      <c r="AA13" s="15">
        <f>'[1]Construction Budget'!E36*10000000</f>
        <v>897000</v>
      </c>
      <c r="AB13" s="11"/>
      <c r="AC13" s="11"/>
      <c r="AD13" s="11"/>
      <c r="AE13" s="11"/>
      <c r="AF13" s="11"/>
      <c r="AG13" s="11">
        <f>'[1]Construction Budget'!F35*10000000</f>
        <v>7570374.3081607576</v>
      </c>
      <c r="AH13" s="11"/>
      <c r="AI13" s="11"/>
      <c r="AJ13" s="11"/>
      <c r="AK13" s="11"/>
      <c r="AL13" s="11"/>
      <c r="AM13" s="11">
        <f>'[1]Construction Budget'!G35*10000000</f>
        <v>8691911.2427030914</v>
      </c>
      <c r="AN13" s="11"/>
      <c r="AO13" s="11"/>
      <c r="AP13" s="11"/>
      <c r="AQ13" s="11"/>
      <c r="AR13" s="11"/>
      <c r="AS13" s="11">
        <f>'[1]Construction Budget'!H35*10000000</f>
        <v>10912554.373096911</v>
      </c>
      <c r="AT13" s="11"/>
      <c r="AU13" s="11"/>
      <c r="AV13" s="11"/>
      <c r="AW13" s="11"/>
      <c r="AX13" s="11"/>
      <c r="AY13" s="11">
        <f>'[1]Construction Budget'!I35*10000000</f>
        <v>12022875.938293826</v>
      </c>
      <c r="AZ13" s="11"/>
      <c r="BA13" s="11"/>
      <c r="BB13" s="11"/>
      <c r="BC13" s="11"/>
      <c r="BD13" s="11"/>
      <c r="BE13" s="11">
        <f>'[1]Construction Budget'!J35*10000000</f>
        <v>12022875.938293826</v>
      </c>
      <c r="BF13" s="11"/>
      <c r="BG13" s="11"/>
      <c r="BH13" s="11"/>
      <c r="BI13" s="11"/>
      <c r="BJ13" s="11"/>
      <c r="BK13" s="11">
        <f>'[1]Construction Budget'!K35*10000000</f>
        <v>7177836.381070938</v>
      </c>
      <c r="BL13" s="11"/>
      <c r="BM13" s="11"/>
      <c r="BN13" s="11"/>
      <c r="BO13" s="11"/>
      <c r="BP13" s="11"/>
      <c r="BQ13" s="11">
        <f>'[1]Construction Budget'!L35*10000000</f>
        <v>6370329.7882004604</v>
      </c>
      <c r="BR13" s="11"/>
      <c r="BS13" s="11"/>
      <c r="BT13" s="11"/>
      <c r="BU13" s="11"/>
      <c r="BV13" s="11"/>
      <c r="BW13" s="11">
        <f>'[1]Construction Budget'!M35*10000000</f>
        <v>7290887.3040728085</v>
      </c>
      <c r="BX13" s="11"/>
      <c r="BY13" s="11"/>
      <c r="BZ13" s="11"/>
      <c r="CA13" s="11"/>
      <c r="CB13" s="11"/>
      <c r="CC13" s="11">
        <f>'[1]Construction Budget'!N35*10000000</f>
        <v>15422478.694278555</v>
      </c>
      <c r="CD13" s="11"/>
      <c r="CE13" s="11"/>
      <c r="CF13" s="11"/>
      <c r="CG13" s="11"/>
      <c r="CH13" s="11"/>
      <c r="CI13" s="11">
        <f>'[1]Construction Budget'!O35*10000000</f>
        <v>19902121.518227547</v>
      </c>
    </row>
    <row r="14" spans="1:87" ht="30" customHeight="1" x14ac:dyDescent="0.25">
      <c r="A14" s="7" t="s">
        <v>93</v>
      </c>
      <c r="B14" s="7" t="s">
        <v>101</v>
      </c>
      <c r="C14" s="8" t="s">
        <v>102</v>
      </c>
      <c r="D14" s="9">
        <v>1</v>
      </c>
      <c r="E14" s="10">
        <f>COUNTIF('[1]Booking Apr'!B:B,'[1]FY Target Sheet'!C14)-COUNTIF('[1]Cancel Apr'!A:A,'[1]FY Target Sheet'!C14)</f>
        <v>0</v>
      </c>
      <c r="F14" s="11">
        <v>8000</v>
      </c>
      <c r="G14" s="12"/>
      <c r="H14" s="13">
        <v>14310</v>
      </c>
      <c r="I14" s="10">
        <f>SUMIF('[1]Booking Apr'!B:B,'[1]FY Target Sheet'!C14,'[1]Booking Apr'!K:K)-SUMIF('[1]Cancel Apr'!A:A,'[1]FY Target Sheet'!C14,'[1]Cancel Apr'!F:F)</f>
        <v>0</v>
      </c>
      <c r="J14" s="13">
        <v>114480000</v>
      </c>
      <c r="K14" s="10">
        <f>SUMIF('[1]Booking Apr'!B:B,C14,'[1]Booking Apr'!L:L)-SUMIF('[1]Cancel Apr'!A:A,'[1]FY Target Sheet'!C14,'[1]Cancel Apr'!G:G)</f>
        <v>0</v>
      </c>
      <c r="L14" s="13">
        <v>176979414.28571427</v>
      </c>
      <c r="M14" s="10">
        <f>SUMIF('[1]Coll Apr'!A:A,C14,'[1]Coll Apr'!J:J)</f>
        <v>0</v>
      </c>
      <c r="N14" s="13"/>
      <c r="O14" s="18"/>
      <c r="P14" s="16">
        <v>1</v>
      </c>
      <c r="Q14" s="10">
        <f>COUNTIF('[1]Booking May'!B:B,'[1]FY Target Sheet'!C14)-COUNTIF('[1]Cancel May'!A:A,'[1]FY Target Sheet'!C14)</f>
        <v>0</v>
      </c>
      <c r="R14" s="11">
        <v>8000</v>
      </c>
      <c r="S14" s="12"/>
      <c r="T14" s="13">
        <v>10675</v>
      </c>
      <c r="U14" s="10">
        <f>SUMIF('[1]Booking May'!B:B,'[1]FY Target Sheet'!C14,'[1]Booking May'!K:K)-SUMIF('[1]Cancel May'!A:A,'[1]FY Target Sheet'!C14,'[1]Cancel May'!F:F)</f>
        <v>0</v>
      </c>
      <c r="V14" s="13">
        <v>85400000</v>
      </c>
      <c r="W14" s="10">
        <f>SUMIF('[1]Booking May'!B:B,C14,'[1]Booking May'!L:L)-SUMIF('[1]Cancel May'!A:A,'[1]FY Target Sheet'!C14,'[1]Cancel May'!G:G)</f>
        <v>0</v>
      </c>
      <c r="X14" s="13">
        <v>219679414.28571427</v>
      </c>
      <c r="Y14" s="13">
        <f>SUMIF('[1]Coll May'!A:A,C14,'[1]Coll May'!J:J)*100000</f>
        <v>0</v>
      </c>
      <c r="Z14" s="13"/>
      <c r="AA14" s="15"/>
      <c r="AB14" s="13">
        <v>2</v>
      </c>
      <c r="AC14" s="11">
        <v>8388.6949667830195</v>
      </c>
      <c r="AD14" s="13">
        <v>17762</v>
      </c>
      <c r="AE14" s="13">
        <v>149000000</v>
      </c>
      <c r="AF14" s="13">
        <v>230035414.28571424</v>
      </c>
      <c r="AG14" s="13"/>
      <c r="AH14" s="13">
        <v>3</v>
      </c>
      <c r="AI14" s="11">
        <v>9288.059701492537</v>
      </c>
      <c r="AJ14" s="13">
        <v>10720</v>
      </c>
      <c r="AK14" s="13">
        <v>99568000</v>
      </c>
      <c r="AL14" s="13">
        <v>225037414.28571424</v>
      </c>
      <c r="AM14" s="13"/>
      <c r="AN14" s="13">
        <v>3</v>
      </c>
      <c r="AO14" s="11">
        <v>8889.0033479268604</v>
      </c>
      <c r="AP14" s="13">
        <v>15532</v>
      </c>
      <c r="AQ14" s="13">
        <v>138064000</v>
      </c>
      <c r="AR14" s="13">
        <v>226473414.28571427</v>
      </c>
      <c r="AS14" s="13"/>
      <c r="AT14" s="13">
        <v>3</v>
      </c>
      <c r="AU14" s="11">
        <v>6389.3311560182347</v>
      </c>
      <c r="AV14" s="13">
        <v>14697</v>
      </c>
      <c r="AW14" s="13">
        <v>93904000</v>
      </c>
      <c r="AX14" s="13">
        <v>235723414.28571427</v>
      </c>
      <c r="AY14" s="13"/>
      <c r="AZ14" s="13">
        <v>3</v>
      </c>
      <c r="BA14" s="11">
        <v>8650.8909210898455</v>
      </c>
      <c r="BB14" s="13">
        <v>21214</v>
      </c>
      <c r="BC14" s="13">
        <v>183520000</v>
      </c>
      <c r="BD14" s="13">
        <v>258451414.28571427</v>
      </c>
      <c r="BE14" s="13"/>
      <c r="BF14" s="13">
        <v>3</v>
      </c>
      <c r="BG14" s="11">
        <v>8889.0033479268604</v>
      </c>
      <c r="BH14" s="13">
        <v>15532</v>
      </c>
      <c r="BI14" s="13">
        <v>138064000</v>
      </c>
      <c r="BJ14" s="13">
        <v>257317699.99999997</v>
      </c>
      <c r="BK14" s="13"/>
      <c r="BL14" s="13">
        <v>2</v>
      </c>
      <c r="BM14" s="11">
        <v>10000</v>
      </c>
      <c r="BN14" s="13">
        <v>6904</v>
      </c>
      <c r="BO14" s="13">
        <v>69040000</v>
      </c>
      <c r="BP14" s="13">
        <v>200077699.99999997</v>
      </c>
      <c r="BQ14" s="13"/>
      <c r="BR14" s="13">
        <v>2</v>
      </c>
      <c r="BS14" s="11">
        <v>10000</v>
      </c>
      <c r="BT14" s="13">
        <v>6904</v>
      </c>
      <c r="BU14" s="13">
        <v>69040000</v>
      </c>
      <c r="BV14" s="13">
        <v>165565699.99999997</v>
      </c>
      <c r="BW14" s="13"/>
      <c r="BX14" s="13">
        <v>2</v>
      </c>
      <c r="BY14" s="11">
        <v>10000</v>
      </c>
      <c r="BZ14" s="13">
        <v>6904</v>
      </c>
      <c r="CA14" s="13">
        <v>69040000</v>
      </c>
      <c r="CB14" s="13">
        <v>82848000</v>
      </c>
      <c r="CC14" s="13"/>
      <c r="CD14" s="13">
        <v>1</v>
      </c>
      <c r="CE14" s="11">
        <v>10000</v>
      </c>
      <c r="CF14" s="13">
        <v>3452</v>
      </c>
      <c r="CG14" s="13">
        <v>34520000</v>
      </c>
      <c r="CH14" s="13">
        <v>75944000</v>
      </c>
      <c r="CI14" s="13"/>
    </row>
    <row r="15" spans="1:87" ht="30" customHeight="1" x14ac:dyDescent="0.25">
      <c r="A15" s="7" t="s">
        <v>93</v>
      </c>
      <c r="B15" s="7" t="s">
        <v>101</v>
      </c>
      <c r="C15" s="8" t="s">
        <v>103</v>
      </c>
      <c r="D15" s="9">
        <v>0</v>
      </c>
      <c r="E15" s="10">
        <f>COUNTIF('[1]Booking Apr'!B:B,'[1]FY Target Sheet'!C15)-COUNTIF('[1]Cancel Apr'!A:A,'[1]FY Target Sheet'!C15)</f>
        <v>1</v>
      </c>
      <c r="F15" s="11">
        <v>0</v>
      </c>
      <c r="G15" s="12">
        <f>(K15/I15)</f>
        <v>16250</v>
      </c>
      <c r="H15" s="13">
        <v>0</v>
      </c>
      <c r="I15" s="10">
        <f>SUMIF('[1]Booking Apr'!B:B,'[1]FY Target Sheet'!C15,'[1]Booking Apr'!K:K)-SUMIF('[1]Cancel Apr'!A:A,'[1]FY Target Sheet'!C15,'[1]Cancel Apr'!F:F)</f>
        <v>400</v>
      </c>
      <c r="J15" s="13">
        <v>0</v>
      </c>
      <c r="K15" s="10">
        <f>SUMIF('[1]Booking Apr'!B:B,C15,'[1]Booking Apr'!L:L)-SUMIF('[1]Cancel Apr'!A:A,'[1]FY Target Sheet'!C15,'[1]Cancel Apr'!G:G)</f>
        <v>6500000</v>
      </c>
      <c r="L15" s="13">
        <v>22380250</v>
      </c>
      <c r="M15" s="10">
        <f>SUMIF('[1]Coll Apr'!A:A,C15,'[1]Coll Apr'!J:J)*100000</f>
        <v>650000</v>
      </c>
      <c r="N15" s="13"/>
      <c r="O15" s="18"/>
      <c r="P15" s="16">
        <v>0</v>
      </c>
      <c r="Q15" s="10">
        <f>COUNTIF('[1]Booking May'!B:B,'[1]FY Target Sheet'!C15)-COUNTIF('[1]Cancel May'!A:A,'[1]FY Target Sheet'!C15)</f>
        <v>2</v>
      </c>
      <c r="R15" s="11">
        <v>0</v>
      </c>
      <c r="S15" s="12">
        <f t="shared" si="1"/>
        <v>8394.5773524720898</v>
      </c>
      <c r="T15" s="13">
        <v>0</v>
      </c>
      <c r="U15" s="10">
        <f>SUMIF('[1]Booking May'!B:B,'[1]FY Target Sheet'!C15,'[1]Booking May'!K:K)-SUMIF('[1]Cancel May'!A:A,'[1]FY Target Sheet'!C15,'[1]Cancel May'!F:F)</f>
        <v>3135</v>
      </c>
      <c r="V15" s="13">
        <v>0</v>
      </c>
      <c r="W15" s="10">
        <f>SUMIF('[1]Booking May'!B:B,C15,'[1]Booking May'!L:L)-SUMIF('[1]Cancel May'!A:A,'[1]FY Target Sheet'!C15,'[1]Cancel May'!G:G)</f>
        <v>26317000</v>
      </c>
      <c r="X15" s="13">
        <v>22380250</v>
      </c>
      <c r="Y15" s="13">
        <f>SUMIF('[1]Coll May'!A:A,C15,'[1]Coll May'!J:J)*100000</f>
        <v>31877999.999999996</v>
      </c>
      <c r="Z15" s="13"/>
      <c r="AA15" s="15"/>
      <c r="AB15" s="13">
        <v>0</v>
      </c>
      <c r="AC15" s="11">
        <v>0</v>
      </c>
      <c r="AD15" s="13">
        <v>0</v>
      </c>
      <c r="AE15" s="13">
        <v>0</v>
      </c>
      <c r="AF15" s="13">
        <v>22380250</v>
      </c>
      <c r="AG15" s="13"/>
      <c r="AH15" s="13">
        <v>2</v>
      </c>
      <c r="AI15" s="11">
        <v>8000</v>
      </c>
      <c r="AJ15" s="13">
        <v>960</v>
      </c>
      <c r="AK15" s="13">
        <v>7680000</v>
      </c>
      <c r="AL15" s="13">
        <v>26220250</v>
      </c>
      <c r="AM15" s="13"/>
      <c r="AN15" s="13">
        <v>2</v>
      </c>
      <c r="AO15" s="11">
        <v>8000</v>
      </c>
      <c r="AP15" s="13">
        <v>1074</v>
      </c>
      <c r="AQ15" s="13">
        <v>8592000</v>
      </c>
      <c r="AR15" s="13">
        <v>8136000</v>
      </c>
      <c r="AS15" s="13"/>
      <c r="AT15" s="13">
        <v>1</v>
      </c>
      <c r="AU15" s="11">
        <v>8000</v>
      </c>
      <c r="AV15" s="13">
        <v>5872</v>
      </c>
      <c r="AW15" s="13">
        <v>46976000</v>
      </c>
      <c r="AX15" s="13">
        <v>27783999.999999996</v>
      </c>
      <c r="AY15" s="13"/>
      <c r="AZ15" s="13">
        <v>0</v>
      </c>
      <c r="BA15" s="11">
        <v>0</v>
      </c>
      <c r="BB15" s="13">
        <v>0</v>
      </c>
      <c r="BC15" s="13">
        <v>0</v>
      </c>
      <c r="BD15" s="13">
        <v>23488000</v>
      </c>
      <c r="BE15" s="13"/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/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/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/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/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/>
    </row>
    <row r="16" spans="1:87" ht="30" customHeight="1" x14ac:dyDescent="0.25">
      <c r="A16" s="7" t="s">
        <v>86</v>
      </c>
      <c r="B16" s="7" t="s">
        <v>104</v>
      </c>
      <c r="C16" s="8" t="s">
        <v>105</v>
      </c>
      <c r="D16" s="19">
        <v>1</v>
      </c>
      <c r="E16" s="10">
        <f>COUNTIF('[1]Booking Apr'!B:B,'[1]FY Target Sheet'!C16)-COUNTIF('[1]Cancel Apr'!A:A,'[1]FY Target Sheet'!C16)</f>
        <v>2</v>
      </c>
      <c r="F16" s="11">
        <v>12000</v>
      </c>
      <c r="G16" s="12">
        <f t="shared" ref="G16:G19" si="3">(K16/I16)</f>
        <v>12763.810741687979</v>
      </c>
      <c r="H16" s="11">
        <v>2150</v>
      </c>
      <c r="I16" s="10">
        <f>SUMIF('[1]Booking Apr'!B:B,'[1]FY Target Sheet'!C16,'[1]Booking Apr'!K:K)-SUMIF('[1]Cancel Apr'!A:A,'[1]FY Target Sheet'!C16,'[1]Cancel Apr'!F:F)</f>
        <v>4301</v>
      </c>
      <c r="J16" s="11">
        <v>25800000</v>
      </c>
      <c r="K16" s="10">
        <f>SUMIF('[1]Booking Apr'!B:B,C16,'[1]Booking Apr'!L:L)-SUMIF('[1]Cancel Apr'!A:A,'[1]FY Target Sheet'!C16,'[1]Cancel Apr'!G:G)</f>
        <v>54897150</v>
      </c>
      <c r="L16" s="11">
        <v>16119500.000000002</v>
      </c>
      <c r="M16" s="10">
        <f>SUMIF('[1]Coll Apr'!A:A,C16,'[1]Coll Apr'!J:J)*100000</f>
        <v>41774000</v>
      </c>
      <c r="N16" s="11">
        <f>'[1]Construction Budget'!D38*10000000</f>
        <v>46718535.319044597</v>
      </c>
      <c r="O16" s="20">
        <f>'[1]Construction Budget'!D39*10000000</f>
        <v>11355933.580323998</v>
      </c>
      <c r="P16" s="21">
        <v>2</v>
      </c>
      <c r="Q16" s="10">
        <f>COUNTIF('[1]Booking May'!B:B,'[1]FY Target Sheet'!C16)-COUNTIF('[1]Cancel May'!A:A,'[1]FY Target Sheet'!C16)</f>
        <v>4</v>
      </c>
      <c r="R16" s="11">
        <v>12000</v>
      </c>
      <c r="S16" s="12">
        <f t="shared" si="1"/>
        <v>11409.27125160188</v>
      </c>
      <c r="T16" s="11">
        <v>4681</v>
      </c>
      <c r="U16" s="10">
        <f>SUMIF('[1]Booking May'!B:B,'[1]FY Target Sheet'!C16,'[1]Booking May'!K:K)-SUMIF('[1]Cancel May'!A:A,'[1]FY Target Sheet'!C16,'[1]Cancel May'!F:F)</f>
        <v>9364</v>
      </c>
      <c r="V16" s="11">
        <v>56172000</v>
      </c>
      <c r="W16" s="10">
        <f>SUMIF('[1]Booking May'!B:B,C16,'[1]Booking May'!L:L)-SUMIF('[1]Cancel May'!A:A,'[1]FY Target Sheet'!C16,'[1]Cancel May'!G:G)</f>
        <v>106836416</v>
      </c>
      <c r="X16" s="11">
        <v>45546092.727272734</v>
      </c>
      <c r="Y16" s="13">
        <f>SUMIF('[1]Coll May'!A:A,C16,'[1]Coll May'!J:J)*100000</f>
        <v>46209000</v>
      </c>
      <c r="Z16" s="11">
        <f>'[1]Construction Budget'!E38*10000000</f>
        <v>49195027.37233194</v>
      </c>
      <c r="AA16" s="15">
        <f>'[1]Construction Budget'!E39*10000000</f>
        <v>21503789.088504001</v>
      </c>
      <c r="AB16" s="11">
        <v>2</v>
      </c>
      <c r="AC16" s="11">
        <v>12000</v>
      </c>
      <c r="AD16" s="11">
        <v>4681</v>
      </c>
      <c r="AE16" s="11">
        <v>56172000</v>
      </c>
      <c r="AF16" s="17">
        <v>41582187.272727273</v>
      </c>
      <c r="AG16" s="11">
        <f>'[1]Construction Budget'!F38*10000000</f>
        <v>50016850.709517851</v>
      </c>
      <c r="AH16" s="11">
        <v>2</v>
      </c>
      <c r="AI16" s="11">
        <v>12000</v>
      </c>
      <c r="AJ16" s="11">
        <v>4681</v>
      </c>
      <c r="AK16" s="11">
        <v>56172000</v>
      </c>
      <c r="AL16" s="11">
        <v>45150087.272727273</v>
      </c>
      <c r="AM16" s="11">
        <f>'[1]Construction Budget'!G38*10000000</f>
        <v>64614158.754078969</v>
      </c>
      <c r="AN16" s="11">
        <v>2</v>
      </c>
      <c r="AO16" s="11">
        <v>12000</v>
      </c>
      <c r="AP16" s="11">
        <v>4681</v>
      </c>
      <c r="AQ16" s="11">
        <v>56172000</v>
      </c>
      <c r="AR16" s="11">
        <v>59362987.272727273</v>
      </c>
      <c r="AS16" s="11">
        <f>'[1]Construction Budget'!H38*10000000</f>
        <v>73484312.408807293</v>
      </c>
      <c r="AT16" s="11">
        <v>3</v>
      </c>
      <c r="AU16" s="11">
        <v>12000</v>
      </c>
      <c r="AV16" s="11">
        <v>7212</v>
      </c>
      <c r="AW16" s="11">
        <v>86544000</v>
      </c>
      <c r="AX16" s="11">
        <v>66498787.272727281</v>
      </c>
      <c r="AY16" s="11">
        <f>'[1]Construction Budget'!I38*10000000</f>
        <v>76996624.976978898</v>
      </c>
      <c r="AZ16" s="11">
        <v>3</v>
      </c>
      <c r="BA16" s="11">
        <v>12000</v>
      </c>
      <c r="BB16" s="11">
        <v>7212</v>
      </c>
      <c r="BC16" s="11">
        <v>86544000</v>
      </c>
      <c r="BD16" s="11">
        <v>72344587.272727281</v>
      </c>
      <c r="BE16" s="11">
        <f>'[1]Construction Budget'!J38*10000000</f>
        <v>71740277.302483618</v>
      </c>
      <c r="BF16" s="11">
        <v>3</v>
      </c>
      <c r="BG16" s="11">
        <v>12000</v>
      </c>
      <c r="BH16" s="11">
        <v>7212</v>
      </c>
      <c r="BI16" s="11">
        <v>86544000</v>
      </c>
      <c r="BJ16" s="11">
        <v>80998987.272727281</v>
      </c>
      <c r="BK16" s="11">
        <f>'[1]Construction Budget'!K38*10000000</f>
        <v>78257760.174341142</v>
      </c>
      <c r="BL16" s="11">
        <v>4</v>
      </c>
      <c r="BM16" s="11">
        <v>12000</v>
      </c>
      <c r="BN16" s="11">
        <v>9362</v>
      </c>
      <c r="BO16" s="11">
        <v>112344000</v>
      </c>
      <c r="BP16" s="17">
        <v>91702687.272727281</v>
      </c>
      <c r="BQ16" s="11">
        <f>'[1]Construction Budget'!L38*10000000</f>
        <v>83542749.277177855</v>
      </c>
      <c r="BR16" s="11">
        <v>3</v>
      </c>
      <c r="BS16" s="11">
        <v>12000</v>
      </c>
      <c r="BT16" s="11">
        <v>7212</v>
      </c>
      <c r="BU16" s="11">
        <v>86544000</v>
      </c>
      <c r="BV16" s="11">
        <v>101591487.27272727</v>
      </c>
      <c r="BW16" s="11">
        <f>'[1]Construction Budget'!M38*10000000</f>
        <v>88409217.891662866</v>
      </c>
      <c r="BX16" s="11">
        <v>3</v>
      </c>
      <c r="BY16" s="11">
        <v>12000</v>
      </c>
      <c r="BZ16" s="11">
        <v>7212</v>
      </c>
      <c r="CA16" s="11">
        <v>86544000</v>
      </c>
      <c r="CB16" s="11">
        <v>111005187.27272727</v>
      </c>
      <c r="CC16" s="11">
        <f>'[1]Construction Budget'!N38*10000000</f>
        <v>75810731.878469855</v>
      </c>
      <c r="CD16" s="11">
        <v>2</v>
      </c>
      <c r="CE16" s="11">
        <v>12000</v>
      </c>
      <c r="CF16" s="11">
        <v>4681</v>
      </c>
      <c r="CG16" s="11">
        <v>56172000</v>
      </c>
      <c r="CH16" s="17">
        <v>126036087.27272728</v>
      </c>
      <c r="CI16" s="11">
        <f>'[1]Construction Budget'!O38*10000000</f>
        <v>91224633.935105219</v>
      </c>
    </row>
    <row r="17" spans="1:87" ht="30" customHeight="1" x14ac:dyDescent="0.25">
      <c r="A17" s="7" t="s">
        <v>86</v>
      </c>
      <c r="B17" s="7" t="s">
        <v>104</v>
      </c>
      <c r="C17" s="8" t="s">
        <v>106</v>
      </c>
      <c r="D17" s="19">
        <v>5</v>
      </c>
      <c r="E17" s="10">
        <f>COUNTIF('[1]Booking Apr'!B:B,'[1]FY Target Sheet'!C17)-COUNTIF('[1]Cancel Apr'!A:A,'[1]FY Target Sheet'!C17)</f>
        <v>-1</v>
      </c>
      <c r="F17" s="11">
        <v>10000</v>
      </c>
      <c r="G17" s="12">
        <f t="shared" si="3"/>
        <v>10218.352499060504</v>
      </c>
      <c r="H17" s="11">
        <v>10110.799999999999</v>
      </c>
      <c r="I17" s="10">
        <f>SUMIF('[1]Booking Apr'!B:B,'[1]FY Target Sheet'!C17,'[1]Booking Apr'!K:K)-SUMIF('[1]Cancel Apr'!A:A,'[1]FY Target Sheet'!C17,'[1]Cancel Apr'!F:F)</f>
        <v>-2661</v>
      </c>
      <c r="J17" s="11">
        <v>101107999.99999999</v>
      </c>
      <c r="K17" s="10">
        <f>SUMIF('[1]Booking Apr'!B:B,C17,'[1]Booking Apr'!L:L)-SUMIF('[1]Cancel Apr'!A:A,'[1]FY Target Sheet'!C17,'[1]Cancel Apr'!G:G)</f>
        <v>-27191036</v>
      </c>
      <c r="L17" s="11">
        <v>20873340</v>
      </c>
      <c r="M17" s="10">
        <f>SUMIF('[1]Coll Apr'!A:A,C17,'[1]Coll Apr'!J:J)*100000</f>
        <v>17494000</v>
      </c>
      <c r="N17" s="11">
        <f>'[1]Construction Budget'!D41*10000000</f>
        <v>50000640.000000007</v>
      </c>
      <c r="O17" s="20">
        <f>'[1]Construction Budget'!D42*10000000</f>
        <v>20000000</v>
      </c>
      <c r="P17" s="21">
        <v>7</v>
      </c>
      <c r="Q17" s="10">
        <f>COUNTIF('[1]Booking May'!B:B,'[1]FY Target Sheet'!C17)-COUNTIF('[1]Cancel May'!A:A,'[1]FY Target Sheet'!C17)</f>
        <v>0</v>
      </c>
      <c r="R17" s="11">
        <v>9793.1135414172077</v>
      </c>
      <c r="S17" s="12"/>
      <c r="T17" s="11">
        <v>15032.399999999998</v>
      </c>
      <c r="U17" s="10">
        <f>SUMIF('[1]Booking May'!B:B,'[1]FY Target Sheet'!C17,'[1]Booking May'!K:K)-SUMIF('[1]Cancel May'!A:A,'[1]FY Target Sheet'!C17,'[1]Cancel May'!F:F)</f>
        <v>0</v>
      </c>
      <c r="V17" s="11">
        <v>147214000</v>
      </c>
      <c r="W17" s="10">
        <f>SUMIF('[1]Booking May'!B:B,C17,'[1]Booking May'!L:L)-SUMIF('[1]Cancel May'!A:A,'[1]FY Target Sheet'!C17,'[1]Cancel May'!G:G)</f>
        <v>0</v>
      </c>
      <c r="X17" s="11">
        <v>48270387.515151523</v>
      </c>
      <c r="Y17" s="13">
        <f>SUMIF('[1]Coll May'!A:A,C17,'[1]Coll May'!J:J)*100000</f>
        <v>13920999.999999998</v>
      </c>
      <c r="Z17" s="11">
        <f>'[1]Construction Budget'!E41*10000000</f>
        <v>45000576</v>
      </c>
      <c r="AA17" s="15">
        <f>'[1]Construction Budget'!E42*10000000</f>
        <v>11799999.999999996</v>
      </c>
      <c r="AB17" s="11">
        <v>6</v>
      </c>
      <c r="AC17" s="11">
        <v>9772.7538434558955</v>
      </c>
      <c r="AD17" s="11">
        <v>13685.599999999999</v>
      </c>
      <c r="AE17" s="11">
        <v>133746000</v>
      </c>
      <c r="AF17" s="11">
        <v>59175804.848484859</v>
      </c>
      <c r="AG17" s="11">
        <f>'[1]Construction Budget'!F41*10000000</f>
        <v>42500544</v>
      </c>
      <c r="AH17" s="11">
        <v>6</v>
      </c>
      <c r="AI17" s="11">
        <v>10500</v>
      </c>
      <c r="AJ17" s="11">
        <v>12650.4</v>
      </c>
      <c r="AK17" s="11">
        <v>132829199.99999999</v>
      </c>
      <c r="AL17" s="11">
        <v>65817264.848484844</v>
      </c>
      <c r="AM17" s="11">
        <f>'[1]Construction Budget'!G41*10000000</f>
        <v>67500864</v>
      </c>
      <c r="AN17" s="11">
        <v>6</v>
      </c>
      <c r="AO17" s="11">
        <v>10500</v>
      </c>
      <c r="AP17" s="11">
        <v>12650.4</v>
      </c>
      <c r="AQ17" s="11">
        <v>132829199.99999999</v>
      </c>
      <c r="AR17" s="11">
        <v>72458724.848484844</v>
      </c>
      <c r="AS17" s="11">
        <f>'[1]Construction Budget'!H41*10000000</f>
        <v>75000959.999999985</v>
      </c>
      <c r="AT17" s="11">
        <v>7</v>
      </c>
      <c r="AU17" s="11">
        <v>10293.113541417208</v>
      </c>
      <c r="AV17" s="11">
        <v>15032.399999999998</v>
      </c>
      <c r="AW17" s="11">
        <v>154730200</v>
      </c>
      <c r="AX17" s="11">
        <v>83515964.848484844</v>
      </c>
      <c r="AY17" s="11">
        <f>'[1]Construction Budget'!I41*10000000</f>
        <v>97501248</v>
      </c>
      <c r="AZ17" s="11">
        <v>7</v>
      </c>
      <c r="BA17" s="11">
        <v>12868.927146538112</v>
      </c>
      <c r="BB17" s="11">
        <v>19249.599999999999</v>
      </c>
      <c r="BC17" s="11">
        <v>247721700</v>
      </c>
      <c r="BD17" s="11">
        <v>110508929.84848483</v>
      </c>
      <c r="BE17" s="11">
        <f>'[1]Construction Budget'!J41*10000000</f>
        <v>102501312</v>
      </c>
      <c r="BF17" s="11">
        <v>7</v>
      </c>
      <c r="BG17" s="11">
        <v>10602.002487246516</v>
      </c>
      <c r="BH17" s="11">
        <v>15760.4</v>
      </c>
      <c r="BI17" s="11">
        <v>167091800</v>
      </c>
      <c r="BJ17" s="11">
        <v>137439632.34848484</v>
      </c>
      <c r="BK17" s="11">
        <f>'[1]Construction Budget'!K41*10000000</f>
        <v>92501183.999999985</v>
      </c>
      <c r="BL17" s="11">
        <v>7</v>
      </c>
      <c r="BM17" s="11">
        <v>10594.835156062905</v>
      </c>
      <c r="BN17" s="11">
        <v>15032.399999999998</v>
      </c>
      <c r="BO17" s="11">
        <v>159265800</v>
      </c>
      <c r="BP17" s="11">
        <v>140276362.34848484</v>
      </c>
      <c r="BQ17" s="11">
        <f>'[1]Construction Budget'!L41*10000000</f>
        <v>107501376</v>
      </c>
      <c r="BR17" s="11">
        <v>8</v>
      </c>
      <c r="BS17" s="11">
        <v>12883.992046669542</v>
      </c>
      <c r="BT17" s="11">
        <v>21324.400000000001</v>
      </c>
      <c r="BU17" s="11">
        <v>274743400</v>
      </c>
      <c r="BV17" s="11">
        <v>182751192.34848484</v>
      </c>
      <c r="BW17" s="11">
        <f>'[1]Construction Budget'!M41*10000000</f>
        <v>100001280.00000001</v>
      </c>
      <c r="BX17" s="11">
        <v>6</v>
      </c>
      <c r="BY17" s="11">
        <v>10892.115779541546</v>
      </c>
      <c r="BZ17" s="11">
        <v>14413.599999999999</v>
      </c>
      <c r="CA17" s="11">
        <v>156994600</v>
      </c>
      <c r="CB17" s="11">
        <v>198789812.34848487</v>
      </c>
      <c r="CC17" s="11">
        <f>'[1]Construction Budget'!N41*10000000</f>
        <v>120001535.99999999</v>
      </c>
      <c r="CD17" s="11">
        <v>8</v>
      </c>
      <c r="CE17" s="11">
        <v>12883.992046669542</v>
      </c>
      <c r="CF17" s="11">
        <v>21324.400000000001</v>
      </c>
      <c r="CG17" s="11">
        <v>274743400</v>
      </c>
      <c r="CH17" s="11">
        <v>313225094.84848481</v>
      </c>
      <c r="CI17" s="11">
        <f>'[1]Construction Budget'!O41*10000000</f>
        <v>100001280.00000001</v>
      </c>
    </row>
    <row r="18" spans="1:87" ht="30" customHeight="1" x14ac:dyDescent="0.25">
      <c r="A18" s="7" t="s">
        <v>86</v>
      </c>
      <c r="B18" s="7" t="s">
        <v>104</v>
      </c>
      <c r="C18" s="8" t="s">
        <v>107</v>
      </c>
      <c r="D18" s="19">
        <v>4</v>
      </c>
      <c r="E18" s="10">
        <f>COUNTIF('[1]Booking Apr'!B:B,'[1]FY Target Sheet'!C18)-COUNTIF('[1]Cancel Apr'!A:A,'[1]FY Target Sheet'!C18)</f>
        <v>6</v>
      </c>
      <c r="F18" s="11">
        <v>10500</v>
      </c>
      <c r="G18" s="12">
        <f t="shared" si="3"/>
        <v>10289.492017416545</v>
      </c>
      <c r="H18" s="11">
        <v>10809</v>
      </c>
      <c r="I18" s="10">
        <f>SUMIF('[1]Booking Apr'!B:B,'[1]FY Target Sheet'!C18,'[1]Booking Apr'!K:K)-SUMIF('[1]Cancel Apr'!A:A,'[1]FY Target Sheet'!C18,'[1]Cancel Apr'!F:F)</f>
        <v>20670</v>
      </c>
      <c r="J18" s="11">
        <v>113494500</v>
      </c>
      <c r="K18" s="10">
        <f>SUMIF('[1]Booking Apr'!B:B,C18,'[1]Booking Apr'!L:L)-SUMIF('[1]Cancel Apr'!A:A,'[1]FY Target Sheet'!C18,'[1]Cancel Apr'!G:G)</f>
        <v>212683800</v>
      </c>
      <c r="L18" s="11">
        <v>42298641.666666672</v>
      </c>
      <c r="M18" s="10">
        <f>SUMIF('[1]Coll Apr'!A:A,C18,'[1]Coll Apr'!J:J)*100000</f>
        <v>49550000</v>
      </c>
      <c r="N18" s="11">
        <f>'[1]Construction Budget'!D44*10000000</f>
        <v>26595670.676076401</v>
      </c>
      <c r="O18" s="20">
        <f>'[1]Construction Budget'!D45*10000000</f>
        <v>12799999.999999976</v>
      </c>
      <c r="P18" s="21">
        <v>4</v>
      </c>
      <c r="Q18" s="10">
        <f>COUNTIF('[1]Booking May'!B:B,'[1]FY Target Sheet'!C18)-COUNTIF('[1]Cancel May'!A:A,'[1]FY Target Sheet'!C18)</f>
        <v>11</v>
      </c>
      <c r="R18" s="11">
        <v>10500</v>
      </c>
      <c r="S18" s="12">
        <f t="shared" si="1"/>
        <v>10838.322895982892</v>
      </c>
      <c r="T18" s="11">
        <v>11546</v>
      </c>
      <c r="U18" s="10">
        <f>SUMIF('[1]Booking May'!B:B,'[1]FY Target Sheet'!C18,'[1]Booking May'!K:K)-SUMIF('[1]Cancel May'!A:A,'[1]FY Target Sheet'!C18,'[1]Cancel May'!F:F)</f>
        <v>32735</v>
      </c>
      <c r="V18" s="11">
        <v>121233000</v>
      </c>
      <c r="W18" s="10">
        <f>SUMIF('[1]Booking May'!B:B,C18,'[1]Booking May'!L:L)-SUMIF('[1]Cancel May'!A:A,'[1]FY Target Sheet'!C18,'[1]Cancel May'!G:G)</f>
        <v>354792500</v>
      </c>
      <c r="X18" s="11">
        <v>63296166.666666672</v>
      </c>
      <c r="Y18" s="13">
        <f>SUMIF('[1]Coll May'!A:A,C18,'[1]Coll May'!J:J)*100000</f>
        <v>99094000</v>
      </c>
      <c r="Z18" s="11">
        <f>'[1]Construction Budget'!E44*10000000</f>
        <v>31755808.953989048</v>
      </c>
      <c r="AA18" s="15">
        <f>'[1]Construction Budget'!E45*10000000</f>
        <v>13300000.000000019</v>
      </c>
      <c r="AB18" s="11">
        <v>2</v>
      </c>
      <c r="AC18" s="11">
        <v>10500</v>
      </c>
      <c r="AD18" s="11">
        <v>5036</v>
      </c>
      <c r="AE18" s="11">
        <v>52878000</v>
      </c>
      <c r="AF18" s="11">
        <v>85940066.666666672</v>
      </c>
      <c r="AG18" s="11">
        <f>'[1]Construction Budget'!F44*10000000</f>
        <v>34033664.581902452</v>
      </c>
      <c r="AH18" s="11">
        <v>3</v>
      </c>
      <c r="AI18" s="11">
        <v>11000</v>
      </c>
      <c r="AJ18" s="11">
        <v>9633</v>
      </c>
      <c r="AK18" s="11">
        <v>105963000</v>
      </c>
      <c r="AL18" s="11">
        <v>101238216.66666667</v>
      </c>
      <c r="AM18" s="11">
        <f>'[1]Construction Budget'!G44*10000000</f>
        <v>39354441.236304745</v>
      </c>
      <c r="AN18" s="11">
        <v>3</v>
      </c>
      <c r="AO18" s="11">
        <v>11000</v>
      </c>
      <c r="AP18" s="11">
        <v>8291</v>
      </c>
      <c r="AQ18" s="11">
        <v>91201000</v>
      </c>
      <c r="AR18" s="11">
        <v>112960904.16666669</v>
      </c>
      <c r="AS18" s="11">
        <f>'[1]Construction Budget'!H44*10000000</f>
        <v>44958706.683018014</v>
      </c>
      <c r="AT18" s="11">
        <v>3</v>
      </c>
      <c r="AU18" s="11">
        <v>11000</v>
      </c>
      <c r="AV18" s="11">
        <v>9028</v>
      </c>
      <c r="AW18" s="11">
        <v>99308000</v>
      </c>
      <c r="AX18" s="11">
        <v>117926304.16666669</v>
      </c>
      <c r="AY18" s="11">
        <f>'[1]Construction Budget'!I44*10000000</f>
        <v>46022073.604688726</v>
      </c>
      <c r="AZ18" s="11">
        <v>3</v>
      </c>
      <c r="BA18" s="11">
        <v>11250</v>
      </c>
      <c r="BB18" s="11">
        <v>8291</v>
      </c>
      <c r="BC18" s="11">
        <v>93273750</v>
      </c>
      <c r="BD18" s="11">
        <v>122041866.66666669</v>
      </c>
      <c r="BE18" s="11">
        <f>'[1]Construction Budget'!J44*10000000</f>
        <v>51939084.723975874</v>
      </c>
      <c r="BF18" s="11">
        <v>5</v>
      </c>
      <c r="BG18" s="11">
        <v>11250</v>
      </c>
      <c r="BH18" s="11">
        <v>15406</v>
      </c>
      <c r="BI18" s="11">
        <v>173317500</v>
      </c>
      <c r="BJ18" s="11">
        <v>128225041.66666667</v>
      </c>
      <c r="BK18" s="11">
        <f>'[1]Construction Budget'!K44*10000000</f>
        <v>55018808.199620828</v>
      </c>
      <c r="BL18" s="11">
        <v>4</v>
      </c>
      <c r="BM18" s="11">
        <v>11250</v>
      </c>
      <c r="BN18" s="11">
        <v>12888</v>
      </c>
      <c r="BO18" s="11">
        <v>144990000</v>
      </c>
      <c r="BP18" s="11">
        <v>148741885.41666669</v>
      </c>
      <c r="BQ18" s="11">
        <f>'[1]Construction Budget'!L44*10000000</f>
        <v>56187624.853097618</v>
      </c>
      <c r="BR18" s="11">
        <v>4</v>
      </c>
      <c r="BS18" s="11">
        <v>11500</v>
      </c>
      <c r="BT18" s="11">
        <v>11546</v>
      </c>
      <c r="BU18" s="11">
        <v>132779000</v>
      </c>
      <c r="BV18" s="11">
        <v>196497897.91666666</v>
      </c>
      <c r="BW18" s="11">
        <f>'[1]Construction Budget'!M44*10000000</f>
        <v>65595317.748619795</v>
      </c>
      <c r="BX18" s="11">
        <v>4</v>
      </c>
      <c r="BY18" s="11">
        <v>11500</v>
      </c>
      <c r="BZ18" s="11">
        <v>11546</v>
      </c>
      <c r="CA18" s="11">
        <v>132779000</v>
      </c>
      <c r="CB18" s="11">
        <v>223084829.16666666</v>
      </c>
      <c r="CC18" s="11">
        <f>'[1]Construction Budget'!N44*10000000</f>
        <v>71260037.920782119</v>
      </c>
      <c r="CD18" s="11">
        <v>3</v>
      </c>
      <c r="CE18" s="11">
        <v>11500</v>
      </c>
      <c r="CF18" s="11">
        <v>8291</v>
      </c>
      <c r="CG18" s="11">
        <v>95346500</v>
      </c>
      <c r="CH18" s="11">
        <v>239258429.16666669</v>
      </c>
      <c r="CI18" s="11">
        <f>'[1]Construction Budget'!O44*10000000</f>
        <v>77286440.817924187</v>
      </c>
    </row>
    <row r="19" spans="1:87" ht="30" customHeight="1" x14ac:dyDescent="0.25">
      <c r="A19" s="7" t="s">
        <v>86</v>
      </c>
      <c r="B19" s="7" t="s">
        <v>104</v>
      </c>
      <c r="C19" s="8" t="s">
        <v>108</v>
      </c>
      <c r="D19" s="19">
        <v>1</v>
      </c>
      <c r="E19" s="10">
        <f>COUNTIF('[1]Booking Apr'!B:B,'[1]FY Target Sheet'!C19)-COUNTIF('[1]Cancel Apr'!A:A,'[1]FY Target Sheet'!C19)</f>
        <v>1</v>
      </c>
      <c r="F19" s="11">
        <v>10200</v>
      </c>
      <c r="G19" s="12">
        <f t="shared" si="3"/>
        <v>12548.050521691379</v>
      </c>
      <c r="H19" s="11">
        <v>3642</v>
      </c>
      <c r="I19" s="10">
        <f>SUMIF('[1]Booking Apr'!B:B,'[1]FY Target Sheet'!C19,'[1]Booking Apr'!K:K)-SUMIF('[1]Cancel Apr'!A:A,'[1]FY Target Sheet'!C19,'[1]Cancel Apr'!F:F)</f>
        <v>3642</v>
      </c>
      <c r="J19" s="11">
        <v>37148400</v>
      </c>
      <c r="K19" s="10">
        <f>SUMIF('[1]Booking Apr'!B:B,C19,'[1]Booking Apr'!L:L)-SUMIF('[1]Cancel Apr'!A:A,'[1]FY Target Sheet'!C19,'[1]Cancel Apr'!G:G)</f>
        <v>45700000</v>
      </c>
      <c r="L19" s="11">
        <v>19832853.333333332</v>
      </c>
      <c r="M19" s="10">
        <f>SUMIF('[1]Coll Apr'!A:A,C19,'[1]Coll Apr'!J:J)*100000</f>
        <v>16135000</v>
      </c>
      <c r="N19" s="11">
        <f>'[1]Construction Budget'!D47*10000000</f>
        <v>38517159.939771332</v>
      </c>
      <c r="O19" s="20">
        <f>'[1]Construction Budget'!D48*10000000</f>
        <v>13259925.238488002</v>
      </c>
      <c r="P19" s="21">
        <v>1</v>
      </c>
      <c r="Q19" s="10">
        <f>COUNTIF('[1]Booking May'!B:B,'[1]FY Target Sheet'!C19)-COUNTIF('[1]Cancel May'!A:A,'[1]FY Target Sheet'!C19)</f>
        <v>1</v>
      </c>
      <c r="R19" s="11">
        <v>10200</v>
      </c>
      <c r="S19" s="12">
        <f t="shared" si="1"/>
        <v>10021.965952773202</v>
      </c>
      <c r="T19" s="11">
        <v>3642</v>
      </c>
      <c r="U19" s="10">
        <f>SUMIF('[1]Booking May'!B:B,'[1]FY Target Sheet'!C19,'[1]Booking May'!K:K)-SUMIF('[1]Cancel May'!A:A,'[1]FY Target Sheet'!C19,'[1]Cancel May'!F:F)</f>
        <v>3642</v>
      </c>
      <c r="V19" s="11">
        <v>37148400</v>
      </c>
      <c r="W19" s="10">
        <f>SUMIF('[1]Booking May'!B:B,C19,'[1]Booking May'!L:L)-SUMIF('[1]Cancel May'!A:A,'[1]FY Target Sheet'!C19,'[1]Cancel May'!G:G)</f>
        <v>36500000</v>
      </c>
      <c r="X19" s="11">
        <v>19832853.333333332</v>
      </c>
      <c r="Y19" s="13">
        <f>SUMIF('[1]Coll May'!A:A,C19,'[1]Coll May'!J:J)*100000</f>
        <v>10773000</v>
      </c>
      <c r="Z19" s="11">
        <f>'[1]Construction Budget'!E47*10000000</f>
        <v>29214944.875374615</v>
      </c>
      <c r="AA19" s="15">
        <f>'[1]Construction Budget'!E48*10000000</f>
        <v>13454924.141262</v>
      </c>
      <c r="AB19" s="11">
        <v>1</v>
      </c>
      <c r="AC19" s="11">
        <v>10200</v>
      </c>
      <c r="AD19" s="11">
        <v>3642</v>
      </c>
      <c r="AE19" s="11">
        <v>37148400</v>
      </c>
      <c r="AF19" s="17">
        <v>23547693.333333332</v>
      </c>
      <c r="AG19" s="11">
        <f>'[1]Construction Budget'!F47*10000000</f>
        <v>28839921.728742726</v>
      </c>
      <c r="AH19" s="11">
        <v>2</v>
      </c>
      <c r="AI19" s="11">
        <v>10200</v>
      </c>
      <c r="AJ19" s="11">
        <v>7284</v>
      </c>
      <c r="AK19" s="11">
        <v>74296800</v>
      </c>
      <c r="AL19" s="11">
        <v>27262533.333333336</v>
      </c>
      <c r="AM19" s="11">
        <f>'[1]Construction Budget'!G47*10000000</f>
        <v>35083818.473945543</v>
      </c>
      <c r="AN19" s="11">
        <v>2</v>
      </c>
      <c r="AO19" s="11">
        <v>10200</v>
      </c>
      <c r="AP19" s="11">
        <v>7284</v>
      </c>
      <c r="AQ19" s="11">
        <v>74296800</v>
      </c>
      <c r="AR19" s="11">
        <v>30977373.333333332</v>
      </c>
      <c r="AS19" s="11">
        <f>'[1]Construction Budget'!H47*10000000</f>
        <v>53628329.632092372</v>
      </c>
      <c r="AT19" s="11">
        <v>2</v>
      </c>
      <c r="AU19" s="11">
        <v>10200</v>
      </c>
      <c r="AV19" s="11">
        <v>7284</v>
      </c>
      <c r="AW19" s="11">
        <v>74296800</v>
      </c>
      <c r="AX19" s="11">
        <v>36549633.333333336</v>
      </c>
      <c r="AY19" s="11">
        <f>'[1]Construction Budget'!I47*10000000</f>
        <v>51087723.44655215</v>
      </c>
      <c r="AZ19" s="11">
        <v>2</v>
      </c>
      <c r="BA19" s="11">
        <v>10200</v>
      </c>
      <c r="BB19" s="11">
        <v>7284</v>
      </c>
      <c r="BC19" s="11">
        <v>74296800</v>
      </c>
      <c r="BD19" s="11">
        <v>43979313.333333336</v>
      </c>
      <c r="BE19" s="11">
        <f>'[1]Construction Budget'!J47*10000000</f>
        <v>67418686.357389733</v>
      </c>
      <c r="BF19" s="11">
        <v>2</v>
      </c>
      <c r="BG19" s="11">
        <v>10200</v>
      </c>
      <c r="BH19" s="11">
        <v>7284</v>
      </c>
      <c r="BI19" s="11">
        <v>74296800</v>
      </c>
      <c r="BJ19" s="11">
        <v>49551573.333333343</v>
      </c>
      <c r="BK19" s="11">
        <f>'[1]Construction Budget'!K47*10000000</f>
        <v>50254097.348622888</v>
      </c>
      <c r="BL19" s="11">
        <v>2</v>
      </c>
      <c r="BM19" s="11">
        <v>10200</v>
      </c>
      <c r="BN19" s="11">
        <v>7284</v>
      </c>
      <c r="BO19" s="11">
        <v>74296800</v>
      </c>
      <c r="BP19" s="17">
        <v>62553513.333333343</v>
      </c>
      <c r="BQ19" s="11">
        <f>'[1]Construction Budget'!L47*10000000</f>
        <v>51453710.213917978</v>
      </c>
      <c r="BR19" s="11">
        <v>3</v>
      </c>
      <c r="BS19" s="11">
        <v>10200</v>
      </c>
      <c r="BT19" s="11">
        <v>10926</v>
      </c>
      <c r="BU19" s="11">
        <v>111445200</v>
      </c>
      <c r="BV19" s="11">
        <v>73698033.333333328</v>
      </c>
      <c r="BW19" s="11">
        <f>'[1]Construction Budget'!M47*10000000</f>
        <v>58015378.770796463</v>
      </c>
      <c r="BX19" s="11">
        <v>3</v>
      </c>
      <c r="BY19" s="11">
        <v>10200</v>
      </c>
      <c r="BZ19" s="11">
        <v>10926</v>
      </c>
      <c r="CA19" s="11">
        <v>111445200</v>
      </c>
      <c r="CB19" s="11">
        <v>88557393.333333328</v>
      </c>
      <c r="CC19" s="11">
        <f>'[1]Construction Budget'!N47*10000000</f>
        <v>58003366.017350793</v>
      </c>
      <c r="CD19" s="11">
        <v>3</v>
      </c>
      <c r="CE19" s="11">
        <v>10200</v>
      </c>
      <c r="CF19" s="11">
        <v>10926</v>
      </c>
      <c r="CG19" s="11">
        <v>111445200</v>
      </c>
      <c r="CH19" s="17">
        <v>103416753.33333333</v>
      </c>
      <c r="CI19" s="11">
        <f>'[1]Construction Budget'!O47*10000000</f>
        <v>78490543.195443466</v>
      </c>
    </row>
    <row r="20" spans="1:87" ht="30" customHeight="1" x14ac:dyDescent="0.25">
      <c r="A20" s="7" t="s">
        <v>93</v>
      </c>
      <c r="B20" s="7" t="s">
        <v>101</v>
      </c>
      <c r="C20" s="8" t="s">
        <v>109</v>
      </c>
      <c r="D20" s="19"/>
      <c r="E20" s="10">
        <f>COUNTIF('[1]Booking Apr'!B:B,'[1]FY Target Sheet'!C20)-COUNTIF('[1]Cancel Apr'!A:A,'[1]FY Target Sheet'!C20)</f>
        <v>0</v>
      </c>
      <c r="F20" s="11"/>
      <c r="G20" s="11"/>
      <c r="H20" s="11"/>
      <c r="I20" s="10"/>
      <c r="J20" s="11"/>
      <c r="K20" s="10"/>
      <c r="L20" s="11">
        <v>2252000</v>
      </c>
      <c r="M20" s="10">
        <f>SUMIF('[1]Coll Apr'!A:A,C20,'[1]Coll Apr'!J:J)*100000</f>
        <v>7627000</v>
      </c>
      <c r="N20" s="11"/>
      <c r="O20" s="20"/>
      <c r="P20" s="21"/>
      <c r="Q20" s="10">
        <f>COUNTIF('[1]Booking May'!B:B,'[1]FY Target Sheet'!C20)-COUNTIF('[1]Cancel May'!A:A,'[1]FY Target Sheet'!C20)</f>
        <v>0</v>
      </c>
      <c r="R20" s="11"/>
      <c r="S20" s="10"/>
      <c r="T20" s="11"/>
      <c r="U20" s="10">
        <f>SUMIF('[1]Booking May'!B:B,'[1]FY Target Sheet'!C20,'[1]Booking May'!K:K)-SUMIF('[1]Cancel May'!A:A,'[1]FY Target Sheet'!C20,'[1]Cancel May'!F:F)</f>
        <v>0</v>
      </c>
      <c r="V20" s="11"/>
      <c r="W20" s="10">
        <f>SUMIF('[1]Booking May'!B:B,C20,'[1]Booking May'!L:L)-SUMIF('[1]Cancel May'!A:A,'[1]FY Target Sheet'!C20,'[1]Cancel May'!G:G)</f>
        <v>0</v>
      </c>
      <c r="X20" s="11">
        <v>3788333.3333333302</v>
      </c>
      <c r="Y20" s="13">
        <f>SUMIF('[1]Coll May'!A:A,C20,'[1]Coll May'!J:J)*100000</f>
        <v>0</v>
      </c>
      <c r="Z20" s="11"/>
      <c r="AA20" s="15"/>
      <c r="AB20" s="11"/>
      <c r="AC20" s="11"/>
      <c r="AD20" s="11"/>
      <c r="AE20" s="11"/>
      <c r="AF20" s="17">
        <v>3788333.3333333302</v>
      </c>
      <c r="AG20" s="11"/>
      <c r="AH20" s="11"/>
      <c r="AI20" s="11"/>
      <c r="AJ20" s="11"/>
      <c r="AK20" s="11"/>
      <c r="AL20" s="11">
        <v>3788333.3333333302</v>
      </c>
      <c r="AM20" s="11"/>
      <c r="AN20" s="11"/>
      <c r="AO20" s="11"/>
      <c r="AP20" s="11"/>
      <c r="AQ20" s="11"/>
      <c r="AR20" s="11">
        <v>3788333.3333333302</v>
      </c>
      <c r="AS20" s="11"/>
      <c r="AT20" s="11"/>
      <c r="AU20" s="11"/>
      <c r="AV20" s="11"/>
      <c r="AW20" s="11"/>
      <c r="AX20" s="11">
        <v>3788333.3333333302</v>
      </c>
      <c r="AY20" s="11"/>
      <c r="AZ20" s="11"/>
      <c r="BA20" s="11"/>
      <c r="BB20" s="11"/>
      <c r="BC20" s="11"/>
      <c r="BD20" s="11">
        <v>1536333.3333333307</v>
      </c>
      <c r="BE20" s="11"/>
      <c r="BF20" s="11"/>
      <c r="BG20" s="11"/>
      <c r="BH20" s="11"/>
      <c r="BI20" s="11"/>
      <c r="BJ20" s="11">
        <v>0</v>
      </c>
      <c r="BK20" s="11"/>
      <c r="BL20" s="11"/>
      <c r="BM20" s="11"/>
      <c r="BN20" s="11"/>
      <c r="BO20" s="11"/>
      <c r="BP20" s="17">
        <v>0</v>
      </c>
      <c r="BQ20" s="11"/>
      <c r="BR20" s="11"/>
      <c r="BS20" s="11"/>
      <c r="BT20" s="11"/>
      <c r="BU20" s="11"/>
      <c r="BV20" s="11">
        <v>0</v>
      </c>
      <c r="BW20" s="11"/>
      <c r="BX20" s="11"/>
      <c r="BY20" s="11"/>
      <c r="BZ20" s="11"/>
      <c r="CA20" s="11"/>
      <c r="CB20" s="11">
        <v>0</v>
      </c>
      <c r="CC20" s="11"/>
      <c r="CD20" s="11"/>
      <c r="CE20" s="11"/>
      <c r="CF20" s="11"/>
      <c r="CG20" s="11"/>
      <c r="CH20" s="17">
        <v>0</v>
      </c>
      <c r="CI20" s="11"/>
    </row>
    <row r="21" spans="1:87" ht="30" customHeight="1" x14ac:dyDescent="0.25">
      <c r="A21" s="7" t="s">
        <v>93</v>
      </c>
      <c r="B21" s="7" t="s">
        <v>87</v>
      </c>
      <c r="C21" s="8" t="s">
        <v>110</v>
      </c>
      <c r="D21" s="19"/>
      <c r="E21" s="10">
        <f>COUNTIF('[1]Booking Apr'!B:B,'[1]FY Target Sheet'!C21)-COUNTIF('[1]Cancel Apr'!A:A,'[1]FY Target Sheet'!C21)</f>
        <v>0</v>
      </c>
      <c r="F21" s="11"/>
      <c r="G21" s="11"/>
      <c r="H21" s="11"/>
      <c r="I21" s="10"/>
      <c r="J21" s="11"/>
      <c r="K21" s="10"/>
      <c r="L21" s="11">
        <v>840000</v>
      </c>
      <c r="M21" s="10">
        <f>SUMIF('[1]Coll Apr'!A:A,C21,'[1]Coll Apr'!J:J)*100000</f>
        <v>3578000</v>
      </c>
      <c r="N21" s="11"/>
      <c r="O21" s="20"/>
      <c r="P21" s="21"/>
      <c r="Q21" s="10">
        <f>COUNTIF('[1]Booking May'!B:B,'[1]FY Target Sheet'!C21)-COUNTIF('[1]Cancel May'!A:A,'[1]FY Target Sheet'!C21)</f>
        <v>1</v>
      </c>
      <c r="R21" s="11"/>
      <c r="S21" s="10"/>
      <c r="T21" s="11"/>
      <c r="U21" s="10">
        <f>SUMIF('[1]Booking May'!B:B,'[1]FY Target Sheet'!C21,'[1]Booking May'!K:K)-SUMIF('[1]Cancel May'!A:A,'[1]FY Target Sheet'!C21,'[1]Cancel May'!F:F)</f>
        <v>581</v>
      </c>
      <c r="V21" s="11"/>
      <c r="W21" s="10">
        <f>SUMIF('[1]Booking May'!B:B,C21,'[1]Booking May'!L:L)-SUMIF('[1]Cancel May'!A:A,'[1]FY Target Sheet'!C21,'[1]Cancel May'!G:G)</f>
        <v>1627000</v>
      </c>
      <c r="X21" s="11">
        <v>2738000.0000000019</v>
      </c>
      <c r="Y21" s="13">
        <f>SUMIF('[1]Coll May'!A:A,C21,'[1]Coll May'!J:J)*100000</f>
        <v>161000</v>
      </c>
      <c r="Z21" s="11"/>
      <c r="AA21" s="11"/>
      <c r="AB21" s="11"/>
      <c r="AC21" s="11"/>
      <c r="AD21" s="11"/>
      <c r="AE21" s="11"/>
      <c r="AF21" s="17">
        <v>0</v>
      </c>
      <c r="AG21" s="11"/>
      <c r="AH21" s="11"/>
      <c r="AI21" s="11"/>
      <c r="AJ21" s="11"/>
      <c r="AK21" s="11"/>
      <c r="AL21" s="11">
        <v>0</v>
      </c>
      <c r="AM21" s="11"/>
      <c r="AN21" s="11"/>
      <c r="AO21" s="11"/>
      <c r="AP21" s="11"/>
      <c r="AQ21" s="11"/>
      <c r="AR21" s="11">
        <v>0</v>
      </c>
      <c r="AS21" s="11"/>
      <c r="AT21" s="11"/>
      <c r="AU21" s="11"/>
      <c r="AV21" s="11"/>
      <c r="AW21" s="11"/>
      <c r="AX21" s="11">
        <v>0</v>
      </c>
      <c r="AY21" s="11"/>
      <c r="AZ21" s="11"/>
      <c r="BA21" s="11"/>
      <c r="BB21" s="11"/>
      <c r="BC21" s="11"/>
      <c r="BD21" s="11">
        <v>0</v>
      </c>
      <c r="BE21" s="11"/>
      <c r="BF21" s="11"/>
      <c r="BG21" s="11"/>
      <c r="BH21" s="11"/>
      <c r="BI21" s="11"/>
      <c r="BJ21" s="11">
        <v>0</v>
      </c>
      <c r="BK21" s="11"/>
      <c r="BL21" s="11"/>
      <c r="BM21" s="11"/>
      <c r="BN21" s="11"/>
      <c r="BO21" s="11"/>
      <c r="BP21" s="17">
        <v>0</v>
      </c>
      <c r="BQ21" s="11"/>
      <c r="BR21" s="11"/>
      <c r="BS21" s="11"/>
      <c r="BT21" s="11"/>
      <c r="BU21" s="11"/>
      <c r="BV21" s="11">
        <v>0</v>
      </c>
      <c r="BW21" s="11"/>
      <c r="BX21" s="11"/>
      <c r="BY21" s="11"/>
      <c r="BZ21" s="11"/>
      <c r="CA21" s="11"/>
      <c r="CB21" s="11">
        <v>0</v>
      </c>
      <c r="CC21" s="11"/>
      <c r="CD21" s="11"/>
      <c r="CE21" s="11"/>
      <c r="CF21" s="11"/>
      <c r="CG21" s="11"/>
      <c r="CH21" s="17">
        <v>0</v>
      </c>
      <c r="CI21" s="11"/>
    </row>
    <row r="22" spans="1:87" ht="30" customHeight="1" x14ac:dyDescent="0.25">
      <c r="A22" s="7" t="s">
        <v>86</v>
      </c>
      <c r="B22" s="7" t="s">
        <v>101</v>
      </c>
      <c r="C22" s="8" t="s">
        <v>111</v>
      </c>
      <c r="D22" s="19"/>
      <c r="E22" s="10">
        <f>COUNTIF('[1]Booking Apr'!B:B,'[1]FY Target Sheet'!C22)-COUNTIF('[1]Cancel Apr'!A:A,'[1]FY Target Sheet'!C22)</f>
        <v>0</v>
      </c>
      <c r="F22" s="11"/>
      <c r="G22" s="11"/>
      <c r="H22" s="11"/>
      <c r="I22" s="10"/>
      <c r="J22" s="11"/>
      <c r="K22" s="10"/>
      <c r="L22" s="11"/>
      <c r="M22" s="10">
        <f>SUMIF('[1]Coll Apr'!A:A,C22,'[1]Coll Apr'!J:J)</f>
        <v>0</v>
      </c>
      <c r="N22" s="11">
        <f>'[1]Construction Budget'!D53*10000000</f>
        <v>33000422.399999999</v>
      </c>
      <c r="O22" s="20">
        <f>'[1]Construction Budget'!D54*10000000</f>
        <v>26800000.000000007</v>
      </c>
      <c r="P22" s="21"/>
      <c r="Q22" s="10">
        <f>COUNTIF('[1]Booking May'!B:B,'[1]FY Target Sheet'!C22)-COUNTIF('[1]Cancel May'!A:A,'[1]FY Target Sheet'!C22)</f>
        <v>0</v>
      </c>
      <c r="R22" s="11"/>
      <c r="S22" s="10"/>
      <c r="T22" s="11"/>
      <c r="U22" s="10">
        <f>SUMIF('[1]Booking May'!B:B,'[1]FY Target Sheet'!C22,'[1]Booking May'!K:K)-SUMIF('[1]Cancel May'!A:A,'[1]FY Target Sheet'!C22,'[1]Cancel May'!F:F)</f>
        <v>0</v>
      </c>
      <c r="V22" s="11"/>
      <c r="W22" s="10">
        <f>SUMIF('[1]Booking May'!B:B,C22,'[1]Booking May'!L:L)-SUMIF('[1]Cancel May'!A:A,'[1]FY Target Sheet'!C22,'[1]Cancel May'!G:G)</f>
        <v>0</v>
      </c>
      <c r="X22" s="11"/>
      <c r="Y22" s="13">
        <f>SUMIF('[1]Coll May'!A:A,C22,'[1]Coll May'!J:J)*100000</f>
        <v>0</v>
      </c>
      <c r="Z22" s="11">
        <f>'[1]Construction Budget'!E53*10000000</f>
        <v>39000499.200000003</v>
      </c>
      <c r="AA22" s="15">
        <f>'[1]Construction Budget'!E54*10000000</f>
        <v>15712999.999999996</v>
      </c>
      <c r="AB22" s="11"/>
      <c r="AC22" s="11"/>
      <c r="AD22" s="11"/>
      <c r="AE22" s="11"/>
      <c r="AF22" s="17"/>
      <c r="AG22" s="11">
        <f>'[1]Construction Budget'!F53*10000000</f>
        <v>36000460.799999997</v>
      </c>
      <c r="AH22" s="11"/>
      <c r="AI22" s="11"/>
      <c r="AJ22" s="11"/>
      <c r="AK22" s="11"/>
      <c r="AL22" s="11"/>
      <c r="AM22" s="11">
        <f>'[1]Construction Budget'!G53*10000000</f>
        <v>51000652.800000004</v>
      </c>
      <c r="AN22" s="11"/>
      <c r="AO22" s="11"/>
      <c r="AP22" s="11"/>
      <c r="AQ22" s="11"/>
      <c r="AR22" s="11"/>
      <c r="AS22" s="11">
        <f>'[1]Construction Budget'!H53*10000000</f>
        <v>46500595.200000003</v>
      </c>
      <c r="AT22" s="11"/>
      <c r="AU22" s="11"/>
      <c r="AV22" s="11"/>
      <c r="AW22" s="11"/>
      <c r="AX22" s="11"/>
      <c r="AY22" s="11">
        <f>'[1]Construction Budget'!I53*10000000</f>
        <v>49500633.599999994</v>
      </c>
      <c r="AZ22" s="11"/>
      <c r="BA22" s="11"/>
      <c r="BB22" s="11"/>
      <c r="BC22" s="11"/>
      <c r="BD22" s="11"/>
      <c r="BE22" s="11">
        <f>'[1]Construction Budget'!J53*10000000</f>
        <v>54000691.199999996</v>
      </c>
      <c r="BF22" s="11"/>
      <c r="BG22" s="11"/>
      <c r="BH22" s="11"/>
      <c r="BI22" s="11"/>
      <c r="BJ22" s="11"/>
      <c r="BK22" s="11">
        <f>'[1]Construction Budget'!K53*10000000</f>
        <v>57000729.600000009</v>
      </c>
      <c r="BL22" s="11"/>
      <c r="BM22" s="11"/>
      <c r="BN22" s="11"/>
      <c r="BO22" s="11"/>
      <c r="BP22" s="17"/>
      <c r="BQ22" s="11">
        <f>'[1]Construction Budget'!L53*10000000</f>
        <v>51000652.800000004</v>
      </c>
      <c r="BR22" s="11"/>
      <c r="BS22" s="11"/>
      <c r="BT22" s="11"/>
      <c r="BU22" s="11"/>
      <c r="BV22" s="11"/>
      <c r="BW22" s="11">
        <f>'[1]Construction Budget'!M53*10000000</f>
        <v>55500710.399999999</v>
      </c>
      <c r="BX22" s="11"/>
      <c r="BY22" s="11"/>
      <c r="BZ22" s="11"/>
      <c r="CA22" s="11"/>
      <c r="CB22" s="11"/>
      <c r="CC22" s="11">
        <f>'[1]Construction Budget'!N53*10000000</f>
        <v>63000806.399999999</v>
      </c>
      <c r="CD22" s="11"/>
      <c r="CE22" s="11"/>
      <c r="CF22" s="11"/>
      <c r="CG22" s="11"/>
      <c r="CH22" s="17"/>
      <c r="CI22" s="11">
        <f>'[1]Construction Budget'!O53*10000000</f>
        <v>64500825.600000001</v>
      </c>
    </row>
    <row r="23" spans="1:87" ht="30" customHeight="1" x14ac:dyDescent="0.25">
      <c r="A23" s="7" t="s">
        <v>86</v>
      </c>
      <c r="B23" s="7" t="s">
        <v>101</v>
      </c>
      <c r="C23" s="8" t="s">
        <v>112</v>
      </c>
      <c r="D23" s="19"/>
      <c r="E23" s="10">
        <f>COUNTIF('[1]Booking Apr'!B:B,'[1]FY Target Sheet'!C23)-COUNTIF('[1]Cancel Apr'!A:A,'[1]FY Target Sheet'!C23)</f>
        <v>0</v>
      </c>
      <c r="F23" s="11"/>
      <c r="G23" s="11"/>
      <c r="H23" s="11"/>
      <c r="I23" s="10"/>
      <c r="J23" s="11"/>
      <c r="K23" s="10"/>
      <c r="L23" s="11"/>
      <c r="M23" s="10">
        <f>SUMIF('[1]Coll Apr'!A:A,C23,'[1]Coll Apr'!J:J)</f>
        <v>0</v>
      </c>
      <c r="N23" s="11">
        <f>'[1]Construction Budget'!D56*10000000</f>
        <v>11000140.800000001</v>
      </c>
      <c r="O23" s="20">
        <f>'[1]Construction Budget'!D57*10000000</f>
        <v>7900000</v>
      </c>
      <c r="P23" s="21"/>
      <c r="Q23" s="10">
        <f>COUNTIF('[1]Booking May'!B:B,'[1]FY Target Sheet'!C23)-COUNTIF('[1]Cancel May'!A:A,'[1]FY Target Sheet'!C23)</f>
        <v>0</v>
      </c>
      <c r="R23" s="11"/>
      <c r="S23" s="10"/>
      <c r="T23" s="11"/>
      <c r="U23" s="10">
        <f>SUMIF('[1]Booking May'!B:B,'[1]FY Target Sheet'!C23,'[1]Booking May'!K:K)-SUMIF('[1]Cancel May'!A:A,'[1]FY Target Sheet'!C23,'[1]Cancel May'!F:F)</f>
        <v>0</v>
      </c>
      <c r="V23" s="11"/>
      <c r="W23" s="10">
        <f>SUMIF('[1]Booking May'!B:B,C23,'[1]Booking May'!L:L)-SUMIF('[1]Cancel May'!A:A,'[1]FY Target Sheet'!C23,'[1]Cancel May'!G:G)</f>
        <v>0</v>
      </c>
      <c r="X23" s="11"/>
      <c r="Y23" s="13">
        <f>SUMIF('[1]Coll May'!A:A,C23,'[1]Coll May'!J:J)*100000</f>
        <v>0</v>
      </c>
      <c r="Z23" s="11">
        <f>'[1]Construction Budget'!E56*10000000</f>
        <v>12500160</v>
      </c>
      <c r="AA23" s="15">
        <f>'[1]Construction Budget'!E57*10000000</f>
        <v>9799999.999999987</v>
      </c>
      <c r="AB23" s="11"/>
      <c r="AC23" s="11"/>
      <c r="AD23" s="11"/>
      <c r="AE23" s="11"/>
      <c r="AF23" s="17"/>
      <c r="AG23" s="11">
        <f>'[1]Construction Budget'!F56*10000000</f>
        <v>11500147.200000001</v>
      </c>
      <c r="AH23" s="11"/>
      <c r="AI23" s="11"/>
      <c r="AJ23" s="11"/>
      <c r="AK23" s="11"/>
      <c r="AL23" s="11"/>
      <c r="AM23" s="11">
        <f>'[1]Construction Budget'!G56*10000000</f>
        <v>17000217.600000001</v>
      </c>
      <c r="AN23" s="11"/>
      <c r="AO23" s="11"/>
      <c r="AP23" s="11"/>
      <c r="AQ23" s="11"/>
      <c r="AR23" s="11"/>
      <c r="AS23" s="11">
        <f>'[1]Construction Budget'!H56*10000000</f>
        <v>18000230.399999999</v>
      </c>
      <c r="AT23" s="11"/>
      <c r="AU23" s="11"/>
      <c r="AV23" s="11"/>
      <c r="AW23" s="11"/>
      <c r="AX23" s="11"/>
      <c r="AY23" s="11">
        <f>'[1]Construction Budget'!I56*10000000</f>
        <v>20500262.399999999</v>
      </c>
      <c r="AZ23" s="11"/>
      <c r="BA23" s="11"/>
      <c r="BB23" s="11"/>
      <c r="BC23" s="11"/>
      <c r="BD23" s="11"/>
      <c r="BE23" s="11">
        <f>'[1]Construction Budget'!J56*10000000</f>
        <v>18000230.399999999</v>
      </c>
      <c r="BF23" s="11"/>
      <c r="BG23" s="11"/>
      <c r="BH23" s="11"/>
      <c r="BI23" s="11"/>
      <c r="BJ23" s="11"/>
      <c r="BK23" s="11">
        <f>'[1]Construction Budget'!K56*10000000</f>
        <v>19000243.199999999</v>
      </c>
      <c r="BL23" s="11"/>
      <c r="BM23" s="11"/>
      <c r="BN23" s="11"/>
      <c r="BO23" s="11"/>
      <c r="BP23" s="17"/>
      <c r="BQ23" s="11">
        <f>'[1]Construction Budget'!L56*10000000</f>
        <v>18500236.800000001</v>
      </c>
      <c r="BR23" s="11"/>
      <c r="BS23" s="11"/>
      <c r="BT23" s="11"/>
      <c r="BU23" s="11"/>
      <c r="BV23" s="11"/>
      <c r="BW23" s="11">
        <f>'[1]Construction Budget'!M56*10000000</f>
        <v>18000230.399999999</v>
      </c>
      <c r="BX23" s="11"/>
      <c r="BY23" s="11"/>
      <c r="BZ23" s="11"/>
      <c r="CA23" s="11"/>
      <c r="CB23" s="11"/>
      <c r="CC23" s="11">
        <f>'[1]Construction Budget'!N56*10000000</f>
        <v>22000281.600000001</v>
      </c>
      <c r="CD23" s="11"/>
      <c r="CE23" s="11"/>
      <c r="CF23" s="11"/>
      <c r="CG23" s="11"/>
      <c r="CH23" s="17"/>
      <c r="CI23" s="11">
        <f>'[1]Construction Budget'!O56*10000000</f>
        <v>14000179.200000001</v>
      </c>
    </row>
    <row r="24" spans="1:87" ht="30" customHeight="1" x14ac:dyDescent="0.25">
      <c r="A24" s="22"/>
      <c r="B24" s="22"/>
      <c r="C24" s="8" t="s">
        <v>113</v>
      </c>
      <c r="D24" s="19"/>
      <c r="E24" s="10">
        <f>COUNTIF('[1]Booking Apr'!B:B,'[1]FY Target Sheet'!C24)-COUNTIF('[1]Cancel Apr'!A:A,'[1]FY Target Sheet'!C24)</f>
        <v>0</v>
      </c>
      <c r="F24" s="11"/>
      <c r="G24" s="11"/>
      <c r="H24" s="11"/>
      <c r="I24" s="10"/>
      <c r="J24" s="11"/>
      <c r="K24" s="10"/>
      <c r="L24" s="11">
        <v>38961499.999999948</v>
      </c>
      <c r="M24" s="10">
        <f>SUMIF('[1]Coll Apr'!A:A,C24,'[1]Coll Apr'!J:J)</f>
        <v>0</v>
      </c>
      <c r="N24" s="11"/>
      <c r="O24" s="20"/>
      <c r="P24" s="21"/>
      <c r="Q24" s="10">
        <f>COUNTIF('[1]Booking May'!B:B,'[1]FY Target Sheet'!C24)-COUNTIF('[1]Cancel May'!A:A,'[1]FY Target Sheet'!C24)</f>
        <v>0</v>
      </c>
      <c r="R24" s="11"/>
      <c r="S24" s="10"/>
      <c r="T24" s="11"/>
      <c r="U24" s="10">
        <f>SUMIF('[1]Booking May'!B:B,'[1]FY Target Sheet'!C24,'[1]Booking May'!K:K)-SUMIF('[1]Cancel May'!A:A,'[1]FY Target Sheet'!C24,'[1]Cancel May'!F:F)</f>
        <v>0</v>
      </c>
      <c r="V24" s="11"/>
      <c r="W24" s="10">
        <f>SUMIF('[1]Booking May'!B:B,C24,'[1]Booking May'!L:L)-SUMIF('[1]Cancel May'!A:A,'[1]FY Target Sheet'!C24,'[1]Cancel May'!G:G)</f>
        <v>0</v>
      </c>
      <c r="X24" s="11">
        <v>32618499.999999955</v>
      </c>
      <c r="Y24" s="13">
        <f>SUMIF('[1]Coll May'!A:A,C24,'[1]Coll May'!J:J)*100000</f>
        <v>0</v>
      </c>
      <c r="Z24" s="11"/>
      <c r="AA24" s="11"/>
      <c r="AB24" s="11"/>
      <c r="AC24" s="11"/>
      <c r="AD24" s="11"/>
      <c r="AE24" s="11"/>
      <c r="AF24" s="17">
        <v>3611000.0000000093</v>
      </c>
      <c r="AG24" s="11"/>
      <c r="AH24" s="11"/>
      <c r="AI24" s="11"/>
      <c r="AJ24" s="11"/>
      <c r="AK24" s="11"/>
      <c r="AL24" s="11">
        <v>0</v>
      </c>
      <c r="AM24" s="11"/>
      <c r="AN24" s="11"/>
      <c r="AO24" s="11"/>
      <c r="AP24" s="11"/>
      <c r="AQ24" s="11"/>
      <c r="AR24" s="11">
        <v>0</v>
      </c>
      <c r="AS24" s="11"/>
      <c r="AT24" s="11"/>
      <c r="AU24" s="11"/>
      <c r="AV24" s="11"/>
      <c r="AW24" s="11"/>
      <c r="AX24" s="11">
        <v>0</v>
      </c>
      <c r="AY24" s="11"/>
      <c r="AZ24" s="11"/>
      <c r="BA24" s="11"/>
      <c r="BB24" s="11"/>
      <c r="BC24" s="11"/>
      <c r="BD24" s="11">
        <v>0</v>
      </c>
      <c r="BE24" s="11"/>
      <c r="BF24" s="11"/>
      <c r="BG24" s="11"/>
      <c r="BH24" s="11"/>
      <c r="BI24" s="11"/>
      <c r="BJ24" s="11">
        <v>0</v>
      </c>
      <c r="BK24" s="11"/>
      <c r="BL24" s="11"/>
      <c r="BM24" s="11"/>
      <c r="BN24" s="11"/>
      <c r="BO24" s="11"/>
      <c r="BP24" s="17">
        <v>0</v>
      </c>
      <c r="BQ24" s="11"/>
      <c r="BR24" s="11"/>
      <c r="BS24" s="11"/>
      <c r="BT24" s="11"/>
      <c r="BU24" s="11"/>
      <c r="BV24" s="11">
        <v>0</v>
      </c>
      <c r="BW24" s="11"/>
      <c r="BX24" s="11"/>
      <c r="BY24" s="11"/>
      <c r="BZ24" s="11"/>
      <c r="CA24" s="11"/>
      <c r="CB24" s="11">
        <v>0</v>
      </c>
      <c r="CC24" s="11"/>
      <c r="CD24" s="11"/>
      <c r="CE24" s="11"/>
      <c r="CF24" s="11"/>
      <c r="CG24" s="11"/>
      <c r="CH24" s="17">
        <v>0</v>
      </c>
      <c r="CI24" s="11"/>
    </row>
    <row r="25" spans="1:87" ht="19.5" x14ac:dyDescent="0.25">
      <c r="A25" s="23"/>
      <c r="B25" s="23"/>
      <c r="C25" s="24" t="s">
        <v>114</v>
      </c>
      <c r="D25" s="25">
        <f>SUM(D2:D24)</f>
        <v>84</v>
      </c>
      <c r="E25" s="26">
        <f>SUM(E2:E24)</f>
        <v>82</v>
      </c>
      <c r="F25" s="26">
        <f>J25/H25</f>
        <v>7970.7737453880573</v>
      </c>
      <c r="G25" s="26">
        <f>K25/I25</f>
        <v>6994.8414229725659</v>
      </c>
      <c r="H25" s="27">
        <f t="shared" ref="H25:Q25" si="4">SUM(H2:H24)</f>
        <v>134758.79999999999</v>
      </c>
      <c r="I25" s="27">
        <f t="shared" si="4"/>
        <v>89559</v>
      </c>
      <c r="J25" s="27">
        <f t="shared" si="4"/>
        <v>1074131905</v>
      </c>
      <c r="K25" s="27">
        <f t="shared" si="4"/>
        <v>626451003</v>
      </c>
      <c r="L25" s="27">
        <f t="shared" si="4"/>
        <v>911939203.7023809</v>
      </c>
      <c r="M25" s="27">
        <f t="shared" si="4"/>
        <v>729065000</v>
      </c>
      <c r="N25" s="26">
        <f t="shared" si="4"/>
        <v>547552314.65709746</v>
      </c>
      <c r="O25" s="28">
        <f t="shared" si="4"/>
        <v>287599778.10125494</v>
      </c>
      <c r="P25" s="29">
        <f t="shared" si="4"/>
        <v>76</v>
      </c>
      <c r="Q25" s="29">
        <f t="shared" si="4"/>
        <v>62</v>
      </c>
      <c r="R25" s="26">
        <f>V25/T25</f>
        <v>8312.9095754321934</v>
      </c>
      <c r="S25" s="29"/>
      <c r="T25" s="27">
        <f t="shared" ref="T25:AB25" si="5">SUM(T2:T24)</f>
        <v>127998.39999999999</v>
      </c>
      <c r="U25" s="27">
        <f t="shared" si="5"/>
        <v>97197</v>
      </c>
      <c r="V25" s="27">
        <f t="shared" si="5"/>
        <v>1064039125</v>
      </c>
      <c r="W25" s="27">
        <f t="shared" si="5"/>
        <v>840942499</v>
      </c>
      <c r="X25" s="27">
        <f t="shared" si="5"/>
        <v>1090739928.2554111</v>
      </c>
      <c r="Y25" s="27">
        <f t="shared" si="5"/>
        <v>715691000</v>
      </c>
      <c r="Z25" s="26">
        <f t="shared" si="5"/>
        <v>596737756.65428424</v>
      </c>
      <c r="AA25" s="26">
        <f t="shared" si="5"/>
        <v>315363563.05019599</v>
      </c>
      <c r="AB25" s="26">
        <f t="shared" si="5"/>
        <v>80</v>
      </c>
      <c r="AC25" s="26">
        <f>AE25/AD25</f>
        <v>8128.9277856232975</v>
      </c>
      <c r="AD25" s="27">
        <f>SUM(AD2:AD24)</f>
        <v>132984.6</v>
      </c>
      <c r="AE25" s="27">
        <f>SUM(AE2:AE24)</f>
        <v>1081022210</v>
      </c>
      <c r="AF25" s="27">
        <f>SUM(AF2:AF24)</f>
        <v>1042381362.732684</v>
      </c>
      <c r="AG25" s="26">
        <f>SUM(AG2:AG24)</f>
        <v>676524328.69290125</v>
      </c>
      <c r="AH25" s="26">
        <f>SUM(AH2:AH24)</f>
        <v>93</v>
      </c>
      <c r="AI25" s="26">
        <f>AK25/AJ25</f>
        <v>8587.8448057371024</v>
      </c>
      <c r="AJ25" s="27">
        <f>SUM(AJ2:AJ24)</f>
        <v>144407.4</v>
      </c>
      <c r="AK25" s="27">
        <f>SUM(AK2:AK24)</f>
        <v>1240148340</v>
      </c>
      <c r="AL25" s="27">
        <f>SUM(AL2:AL24)</f>
        <v>1103747665.1493504</v>
      </c>
      <c r="AM25" s="26">
        <f>SUM(AM2:AM24)</f>
        <v>785988115.31067348</v>
      </c>
      <c r="AN25" s="26">
        <f>SUM(AN2:AN24)</f>
        <v>104</v>
      </c>
      <c r="AO25" s="26">
        <f>AQ25/AP25</f>
        <v>8252.0192719594888</v>
      </c>
      <c r="AP25" s="27">
        <f>SUM(AP2:AP24)</f>
        <v>161399.25999999998</v>
      </c>
      <c r="AQ25" s="27">
        <f>SUM(AQ2:AQ24)</f>
        <v>1331869804</v>
      </c>
      <c r="AR25" s="27">
        <f>SUM(AR2:AR24)</f>
        <v>1193891124.6826839</v>
      </c>
      <c r="AS25" s="26">
        <f>SUM(AS2:AS24)</f>
        <v>884510831.89959788</v>
      </c>
      <c r="AT25" s="26">
        <f>SUM(AT2:AT24)</f>
        <v>97</v>
      </c>
      <c r="AU25" s="26">
        <f>AW25/AV25</f>
        <v>8026.2034615899238</v>
      </c>
      <c r="AV25" s="27">
        <f>SUM(AV2:AV24)</f>
        <v>160385.26</v>
      </c>
      <c r="AW25" s="27">
        <f>SUM(AW2:AW24)</f>
        <v>1287284729</v>
      </c>
      <c r="AX25" s="27">
        <f>SUM(AX2:AX24)</f>
        <v>1361220497.3076837</v>
      </c>
      <c r="AY25" s="26">
        <f>SUM(AY2:AY24)</f>
        <v>896871900.27255082</v>
      </c>
      <c r="AZ25" s="26">
        <f>SUM(AZ2:AZ24)</f>
        <v>95</v>
      </c>
      <c r="BA25" s="26">
        <f>BC25/BB25</f>
        <v>8709.6559381368188</v>
      </c>
      <c r="BB25" s="27">
        <f>SUM(BB2:BB24)</f>
        <v>168405.18000000002</v>
      </c>
      <c r="BC25" s="27">
        <f>SUM(BC2:BC24)</f>
        <v>1466751176</v>
      </c>
      <c r="BD25" s="27">
        <f>SUM(BD2:BD24)</f>
        <v>1550106474.7160172</v>
      </c>
      <c r="BE25" s="26">
        <f>SUM(BE2:BE24)</f>
        <v>937943815.60879004</v>
      </c>
      <c r="BF25" s="26">
        <f>SUM(BF2:BF24)</f>
        <v>93</v>
      </c>
      <c r="BG25" s="26">
        <f>BI25/BH25</f>
        <v>8726.4401296399374</v>
      </c>
      <c r="BH25" s="27">
        <f>SUM(BH2:BH24)</f>
        <v>163431.12</v>
      </c>
      <c r="BI25" s="27">
        <f>SUM(BI2:BI24)</f>
        <v>1426171884</v>
      </c>
      <c r="BJ25" s="27">
        <f>SUM(BJ2:BJ24)</f>
        <v>1546129807.4219697</v>
      </c>
      <c r="BK25" s="26">
        <f>SUM(BK2:BK24)</f>
        <v>886027270.84525347</v>
      </c>
      <c r="BL25" s="26">
        <f>SUM(BL2:BL24)</f>
        <v>96</v>
      </c>
      <c r="BM25" s="26">
        <f>BO25/BN25</f>
        <v>8788.9789095140295</v>
      </c>
      <c r="BN25" s="27">
        <f>SUM(BN2:BN24)</f>
        <v>157445.4</v>
      </c>
      <c r="BO25" s="27">
        <f>SUM(BO2:BO24)</f>
        <v>1383784300</v>
      </c>
      <c r="BP25" s="27">
        <f>SUM(BP2:BP24)</f>
        <v>1705827314.4969695</v>
      </c>
      <c r="BQ25" s="26">
        <f>SUM(BQ2:BQ24)</f>
        <v>840054895.52669024</v>
      </c>
      <c r="BR25" s="26">
        <f>SUM(BR2:BR24)</f>
        <v>92</v>
      </c>
      <c r="BS25" s="26">
        <f>BU25/BT25</f>
        <v>9174.9471810153009</v>
      </c>
      <c r="BT25" s="27">
        <f>SUM(BT2:BT24)</f>
        <v>155834.12</v>
      </c>
      <c r="BU25" s="27">
        <f>SUM(BU2:BU24)</f>
        <v>1429769820</v>
      </c>
      <c r="BV25" s="27">
        <f>SUM(BV2:BV24)</f>
        <v>1922684649.0053029</v>
      </c>
      <c r="BW25" s="26">
        <f>SUM(BW2:BW24)</f>
        <v>746869815.42797673</v>
      </c>
      <c r="BX25" s="26">
        <f>SUM(BX2:BX24)</f>
        <v>90</v>
      </c>
      <c r="BY25" s="26">
        <f>CA25/BZ25</f>
        <v>8403.4618018822621</v>
      </c>
      <c r="BZ25" s="27">
        <f>SUM(BZ2:BZ24)</f>
        <v>161280.46</v>
      </c>
      <c r="CA25" s="27">
        <f>SUM(CA2:CA24)</f>
        <v>1355314185</v>
      </c>
      <c r="CB25" s="27">
        <f>SUM(CB2:CB24)</f>
        <v>1976237205.5053034</v>
      </c>
      <c r="CC25" s="26">
        <f>SUM(CC2:CC24)</f>
        <v>828920457.60630417</v>
      </c>
      <c r="CD25" s="26">
        <f>SUM(CD2:CD24)</f>
        <v>93</v>
      </c>
      <c r="CE25" s="26">
        <f>CG25/CF25</f>
        <v>9020.2603904071784</v>
      </c>
      <c r="CF25" s="27">
        <f>SUM(CF2:CF24)</f>
        <v>153000.26</v>
      </c>
      <c r="CG25" s="27">
        <f>SUM(CG2:CG24)</f>
        <v>1380102185</v>
      </c>
      <c r="CH25" s="27">
        <f>SUM(CH2:CH24)</f>
        <v>2125308453.4803028</v>
      </c>
      <c r="CI25" s="26">
        <f t="shared" ref="CI25" si="6">SUM(CI2:CI24)</f>
        <v>812119329.49787998</v>
      </c>
    </row>
    <row r="26" spans="1:87" ht="20.25" thickBot="1" x14ac:dyDescent="0.35">
      <c r="A26" s="30"/>
      <c r="B26" s="30"/>
      <c r="C26" s="30"/>
      <c r="D26" s="31"/>
      <c r="E26" s="32">
        <f>E25/D25</f>
        <v>0.97619047619047616</v>
      </c>
      <c r="F26" s="33"/>
      <c r="G26" s="32">
        <f>G25/F25</f>
        <v>0.87756115609476781</v>
      </c>
      <c r="H26" s="31"/>
      <c r="I26" s="32">
        <f>I25/H25</f>
        <v>0.66458739614778406</v>
      </c>
      <c r="J26" s="31"/>
      <c r="K26" s="32">
        <f>K25/J25</f>
        <v>0.58321608368946087</v>
      </c>
      <c r="L26" s="31"/>
      <c r="M26" s="32">
        <f>M25/L25</f>
        <v>0.79946667172556007</v>
      </c>
      <c r="N26" s="31"/>
      <c r="O26" s="31"/>
      <c r="P26" s="31"/>
      <c r="Q26" s="32">
        <f>Q25/P25</f>
        <v>0.81578947368421051</v>
      </c>
      <c r="R26" s="34"/>
      <c r="S26" s="32">
        <f>S25/R25</f>
        <v>0</v>
      </c>
      <c r="T26" s="31"/>
      <c r="U26" s="32">
        <f>U25/T25</f>
        <v>0.75936105451318148</v>
      </c>
      <c r="V26" s="31"/>
      <c r="W26" s="32">
        <f>W25/V25</f>
        <v>0.79033042981384727</v>
      </c>
      <c r="X26" s="31"/>
      <c r="Y26" s="32">
        <f>Y25/X25</f>
        <v>0.65615183001938437</v>
      </c>
      <c r="Z26" s="31"/>
      <c r="AA26" s="31"/>
      <c r="AB26" s="31"/>
      <c r="AC26" s="34"/>
      <c r="AD26" s="31"/>
      <c r="AE26" s="31"/>
      <c r="AF26" s="34"/>
      <c r="AG26" s="31"/>
      <c r="AH26" s="31"/>
      <c r="AI26" s="34"/>
      <c r="AJ26" s="31"/>
      <c r="AK26" s="31"/>
      <c r="AL26" s="31"/>
      <c r="AM26" s="31"/>
      <c r="AN26" s="31"/>
      <c r="AO26" s="34"/>
      <c r="AP26" s="31"/>
      <c r="AQ26" s="31"/>
      <c r="AR26" s="31"/>
      <c r="AS26" s="31"/>
      <c r="AT26" s="31"/>
      <c r="AU26" s="34"/>
      <c r="AV26" s="31"/>
      <c r="AW26" s="31"/>
      <c r="AX26" s="31"/>
      <c r="AY26" s="31"/>
      <c r="AZ26" s="31"/>
      <c r="BA26" s="34"/>
      <c r="BB26" s="31"/>
      <c r="BC26" s="31"/>
      <c r="BD26" s="31"/>
      <c r="BE26" s="31"/>
      <c r="BF26" s="31"/>
      <c r="BG26" s="34"/>
      <c r="BH26" s="31"/>
      <c r="BI26" s="31"/>
      <c r="BJ26" s="31"/>
      <c r="BK26" s="31"/>
      <c r="BL26" s="31"/>
      <c r="BM26" s="34"/>
      <c r="BN26" s="31"/>
      <c r="BO26" s="31"/>
      <c r="BP26" s="34"/>
      <c r="BQ26" s="31"/>
      <c r="BR26" s="31"/>
      <c r="BS26" s="34"/>
      <c r="BT26" s="31"/>
      <c r="BU26" s="31"/>
      <c r="BV26" s="31"/>
      <c r="BW26" s="31"/>
      <c r="BX26" s="31"/>
      <c r="BY26" s="34"/>
      <c r="BZ26" s="31"/>
      <c r="CA26" s="31"/>
      <c r="CB26" s="31"/>
      <c r="CC26" s="31"/>
      <c r="CD26" s="31"/>
      <c r="CE26" s="34"/>
      <c r="CF26" s="31"/>
      <c r="CG26" s="31"/>
      <c r="CH26" s="34"/>
      <c r="CI26" s="31"/>
    </row>
    <row r="27" spans="1:87" ht="98.25" thickBot="1" x14ac:dyDescent="0.3">
      <c r="A27" s="1" t="s">
        <v>0</v>
      </c>
      <c r="B27" s="1" t="s">
        <v>1</v>
      </c>
      <c r="C27" s="2" t="s">
        <v>2</v>
      </c>
      <c r="D27" s="3" t="s">
        <v>3</v>
      </c>
      <c r="E27" s="4" t="s">
        <v>4</v>
      </c>
      <c r="F27" s="5" t="s">
        <v>5</v>
      </c>
      <c r="G27" s="4" t="s">
        <v>6</v>
      </c>
      <c r="H27" s="5" t="s">
        <v>7</v>
      </c>
      <c r="I27" s="4" t="s">
        <v>8</v>
      </c>
      <c r="J27" s="5" t="s">
        <v>9</v>
      </c>
      <c r="K27" s="4" t="s">
        <v>10</v>
      </c>
      <c r="L27" s="5" t="s">
        <v>11</v>
      </c>
      <c r="M27" s="4" t="s">
        <v>12</v>
      </c>
      <c r="N27" s="5" t="s">
        <v>13</v>
      </c>
      <c r="O27" s="6" t="s">
        <v>14</v>
      </c>
      <c r="P27" s="5" t="s">
        <v>15</v>
      </c>
      <c r="Q27" s="4" t="s">
        <v>16</v>
      </c>
      <c r="R27" s="5" t="s">
        <v>17</v>
      </c>
      <c r="S27" s="4" t="s">
        <v>18</v>
      </c>
      <c r="T27" s="5" t="s">
        <v>19</v>
      </c>
      <c r="U27" s="4" t="s">
        <v>20</v>
      </c>
      <c r="V27" s="5" t="s">
        <v>21</v>
      </c>
      <c r="W27" s="4" t="s">
        <v>22</v>
      </c>
      <c r="X27" s="5" t="s">
        <v>23</v>
      </c>
      <c r="Y27" s="4" t="s">
        <v>23</v>
      </c>
      <c r="Z27" s="5" t="s">
        <v>24</v>
      </c>
      <c r="AA27" s="4" t="s">
        <v>25</v>
      </c>
      <c r="AB27" s="5" t="s">
        <v>26</v>
      </c>
      <c r="AC27" s="5" t="s">
        <v>27</v>
      </c>
      <c r="AD27" s="5" t="s">
        <v>28</v>
      </c>
      <c r="AE27" s="5" t="s">
        <v>29</v>
      </c>
      <c r="AF27" s="5" t="s">
        <v>30</v>
      </c>
      <c r="AG27" s="5" t="s">
        <v>31</v>
      </c>
      <c r="AH27" s="5" t="s">
        <v>32</v>
      </c>
      <c r="AI27" s="5" t="s">
        <v>33</v>
      </c>
      <c r="AJ27" s="5" t="s">
        <v>34</v>
      </c>
      <c r="AK27" s="5" t="s">
        <v>35</v>
      </c>
      <c r="AL27" s="5" t="s">
        <v>36</v>
      </c>
      <c r="AM27" s="5" t="s">
        <v>37</v>
      </c>
      <c r="AN27" s="5" t="s">
        <v>38</v>
      </c>
      <c r="AO27" s="5" t="s">
        <v>39</v>
      </c>
      <c r="AP27" s="5" t="s">
        <v>40</v>
      </c>
      <c r="AQ27" s="5" t="s">
        <v>41</v>
      </c>
      <c r="AR27" s="5" t="s">
        <v>42</v>
      </c>
      <c r="AS27" s="5" t="s">
        <v>43</v>
      </c>
      <c r="AT27" s="5" t="s">
        <v>44</v>
      </c>
      <c r="AU27" s="5" t="s">
        <v>45</v>
      </c>
      <c r="AV27" s="5" t="s">
        <v>46</v>
      </c>
      <c r="AW27" s="5" t="s">
        <v>47</v>
      </c>
      <c r="AX27" s="5" t="s">
        <v>48</v>
      </c>
      <c r="AY27" s="5" t="s">
        <v>49</v>
      </c>
      <c r="AZ27" s="5" t="s">
        <v>50</v>
      </c>
      <c r="BA27" s="5" t="s">
        <v>51</v>
      </c>
      <c r="BB27" s="5" t="s">
        <v>52</v>
      </c>
      <c r="BC27" s="5" t="s">
        <v>53</v>
      </c>
      <c r="BD27" s="5" t="s">
        <v>54</v>
      </c>
      <c r="BE27" s="5" t="s">
        <v>55</v>
      </c>
      <c r="BF27" s="5" t="s">
        <v>56</v>
      </c>
      <c r="BG27" s="5" t="s">
        <v>57</v>
      </c>
      <c r="BH27" s="5" t="s">
        <v>58</v>
      </c>
      <c r="BI27" s="5" t="s">
        <v>59</v>
      </c>
      <c r="BJ27" s="5" t="s">
        <v>60</v>
      </c>
      <c r="BK27" s="5" t="s">
        <v>61</v>
      </c>
      <c r="BL27" s="5" t="s">
        <v>62</v>
      </c>
      <c r="BM27" s="5" t="s">
        <v>63</v>
      </c>
      <c r="BN27" s="5" t="s">
        <v>64</v>
      </c>
      <c r="BO27" s="5" t="s">
        <v>65</v>
      </c>
      <c r="BP27" s="5" t="s">
        <v>66</v>
      </c>
      <c r="BQ27" s="5" t="s">
        <v>67</v>
      </c>
      <c r="BR27" s="5" t="s">
        <v>68</v>
      </c>
      <c r="BS27" s="5" t="s">
        <v>69</v>
      </c>
      <c r="BT27" s="5" t="s">
        <v>70</v>
      </c>
      <c r="BU27" s="5" t="s">
        <v>71</v>
      </c>
      <c r="BV27" s="5" t="s">
        <v>72</v>
      </c>
      <c r="BW27" s="5" t="s">
        <v>73</v>
      </c>
      <c r="BX27" s="5" t="s">
        <v>74</v>
      </c>
      <c r="BY27" s="5" t="s">
        <v>75</v>
      </c>
      <c r="BZ27" s="5" t="s">
        <v>76</v>
      </c>
      <c r="CA27" s="5" t="s">
        <v>77</v>
      </c>
      <c r="CB27" s="5" t="s">
        <v>78</v>
      </c>
      <c r="CC27" s="5" t="s">
        <v>79</v>
      </c>
      <c r="CD27" s="5" t="s">
        <v>80</v>
      </c>
      <c r="CE27" s="5" t="s">
        <v>81</v>
      </c>
      <c r="CF27" s="5" t="s">
        <v>82</v>
      </c>
      <c r="CG27" s="5" t="s">
        <v>83</v>
      </c>
      <c r="CH27" s="5" t="s">
        <v>84</v>
      </c>
      <c r="CI27" s="5" t="s">
        <v>85</v>
      </c>
    </row>
    <row r="28" spans="1:87" ht="30" customHeight="1" x14ac:dyDescent="0.25">
      <c r="A28" s="7" t="s">
        <v>115</v>
      </c>
      <c r="B28" s="7" t="s">
        <v>87</v>
      </c>
      <c r="C28" s="7" t="s">
        <v>116</v>
      </c>
      <c r="D28" s="11">
        <v>0</v>
      </c>
      <c r="E28" s="10">
        <f>COUNTIF('[1]Booking Apr'!B:B,'[1]FY Target Sheet'!C28)-COUNTIF('[1]Cancel Apr'!A:A,'[1]FY Target Sheet'!C28)</f>
        <v>0</v>
      </c>
      <c r="F28" s="11">
        <v>0</v>
      </c>
      <c r="G28" s="12" t="e">
        <f t="shared" ref="G28:G31" si="7">(K28/I28)</f>
        <v>#DIV/0!</v>
      </c>
      <c r="H28" s="11">
        <v>0</v>
      </c>
      <c r="I28" s="10">
        <f>SUMIF('[1]Booking Apr'!B:B,'[1]FY Target Sheet'!C28,'[1]Booking Apr'!K:K)-SUMIF('[1]Cancel Apr'!A:A,'[1]FY Target Sheet'!C28,'[1]Cancel Apr'!F:F)</f>
        <v>0</v>
      </c>
      <c r="J28" s="11">
        <v>0</v>
      </c>
      <c r="K28" s="10">
        <f>SUMIF('[1]Booking Apr'!B:B,C28,'[1]Booking Apr'!L:L)-SUMIF('[1]Cancel Apr'!A:A,'[1]FY Target Sheet'!C28,'[1]Cancel Apr'!G:G)</f>
        <v>0</v>
      </c>
      <c r="L28" s="11"/>
      <c r="M28" s="10">
        <f>SUMIF('[1]Coll Apr'!A:A,C28,'[1]Coll Apr'!J:J)*100000</f>
        <v>0</v>
      </c>
      <c r="N28" s="11"/>
      <c r="O28" s="20"/>
      <c r="P28" s="11">
        <v>0</v>
      </c>
      <c r="Q28" s="10">
        <f>COUNTIF('[1]Booking May'!B:B,'[1]FY Target Sheet'!C28)-COUNTIF('[1]Cancel May'!A:A,'[1]FY Target Sheet'!C28)</f>
        <v>0</v>
      </c>
      <c r="R28" s="11">
        <v>0</v>
      </c>
      <c r="S28" s="12" t="e">
        <f t="shared" ref="S28:S31" si="8">(W28/U28)</f>
        <v>#DIV/0!</v>
      </c>
      <c r="T28" s="11">
        <v>0</v>
      </c>
      <c r="U28" s="10">
        <f>SUMIF('[1]Booking May'!B:B,'[1]FY Target Sheet'!C28,'[1]Booking May'!K:K)-SUMIF('[1]Cancel May'!A:A,'[1]FY Target Sheet'!C28,'[1]Cancel May'!F:F)</f>
        <v>0</v>
      </c>
      <c r="V28" s="11">
        <v>0</v>
      </c>
      <c r="W28" s="10">
        <f>SUMIF('[1]Booking May'!B:B,C28,'[1]Booking May'!L:L)-SUMIF('[1]Cancel May'!A:A,'[1]FY Target Sheet'!C28,'[1]Cancel May'!G:G)</f>
        <v>0</v>
      </c>
      <c r="X28" s="11"/>
      <c r="Y28" s="13">
        <f>SUMIF('[1]Coll May'!A:A,C28,'[1]Coll May'!J:J)*100000</f>
        <v>0</v>
      </c>
      <c r="Z28" s="11"/>
      <c r="AA28" s="11"/>
      <c r="AB28" s="11">
        <v>0</v>
      </c>
      <c r="AC28" s="11">
        <v>0</v>
      </c>
      <c r="AD28" s="11">
        <v>0</v>
      </c>
      <c r="AE28" s="11">
        <v>0</v>
      </c>
      <c r="AF28" s="17"/>
      <c r="AG28" s="11"/>
      <c r="AH28" s="11">
        <v>0</v>
      </c>
      <c r="AI28" s="11">
        <v>0</v>
      </c>
      <c r="AJ28" s="11">
        <v>0</v>
      </c>
      <c r="AK28" s="11">
        <v>0</v>
      </c>
      <c r="AL28" s="11"/>
      <c r="AM28" s="11"/>
      <c r="AN28" s="11">
        <v>0</v>
      </c>
      <c r="AO28" s="11">
        <v>0</v>
      </c>
      <c r="AP28" s="11">
        <v>0</v>
      </c>
      <c r="AQ28" s="11">
        <v>0</v>
      </c>
      <c r="AR28" s="11"/>
      <c r="AS28" s="11"/>
      <c r="AT28" s="11">
        <v>0</v>
      </c>
      <c r="AU28" s="11">
        <v>0</v>
      </c>
      <c r="AV28" s="11">
        <v>0</v>
      </c>
      <c r="AW28" s="11">
        <v>0</v>
      </c>
      <c r="AX28" s="11"/>
      <c r="AY28" s="11"/>
      <c r="AZ28" s="11">
        <v>203</v>
      </c>
      <c r="BA28" s="11">
        <v>7752.8223764558697</v>
      </c>
      <c r="BB28" s="11">
        <v>369281</v>
      </c>
      <c r="BC28" s="11">
        <v>2862970000</v>
      </c>
      <c r="BD28" s="11"/>
      <c r="BE28" s="11"/>
      <c r="BF28" s="11">
        <v>103</v>
      </c>
      <c r="BG28" s="11">
        <v>7803.2729602236332</v>
      </c>
      <c r="BH28" s="11">
        <v>188881</v>
      </c>
      <c r="BI28" s="11">
        <v>1473890000</v>
      </c>
      <c r="BJ28" s="11"/>
      <c r="BK28" s="11"/>
      <c r="BL28" s="11">
        <v>53</v>
      </c>
      <c r="BM28" s="11">
        <v>8080.4815516664812</v>
      </c>
      <c r="BN28" s="11">
        <v>98681</v>
      </c>
      <c r="BO28" s="11">
        <v>797390000</v>
      </c>
      <c r="BP28" s="17"/>
      <c r="BQ28" s="11"/>
      <c r="BR28" s="11">
        <v>52</v>
      </c>
      <c r="BS28" s="11">
        <v>8117.97108101905</v>
      </c>
      <c r="BT28" s="11">
        <v>95854</v>
      </c>
      <c r="BU28" s="11">
        <v>778140000</v>
      </c>
      <c r="BV28" s="11"/>
      <c r="BW28" s="11"/>
      <c r="BX28" s="11">
        <v>52</v>
      </c>
      <c r="BY28" s="11">
        <v>8117.97108101905</v>
      </c>
      <c r="BZ28" s="11">
        <v>95854</v>
      </c>
      <c r="CA28" s="11">
        <v>778140000</v>
      </c>
      <c r="CB28" s="11"/>
      <c r="CC28" s="11"/>
      <c r="CD28" s="11">
        <v>52</v>
      </c>
      <c r="CE28" s="11">
        <v>8117.97108101905</v>
      </c>
      <c r="CF28" s="11">
        <v>95854</v>
      </c>
      <c r="CG28" s="11">
        <v>778140000</v>
      </c>
      <c r="CH28" s="17"/>
      <c r="CI28" s="11"/>
    </row>
    <row r="29" spans="1:87" ht="30" customHeight="1" x14ac:dyDescent="0.25">
      <c r="A29" s="7" t="s">
        <v>115</v>
      </c>
      <c r="B29" s="7" t="s">
        <v>87</v>
      </c>
      <c r="C29" s="7" t="s">
        <v>117</v>
      </c>
      <c r="D29" s="11">
        <v>0</v>
      </c>
      <c r="E29" s="10">
        <f>COUNTIF('[1]Booking Apr'!B:B,'[1]FY Target Sheet'!C29)-COUNTIF('[1]Cancel Apr'!A:A,'[1]FY Target Sheet'!C29)</f>
        <v>0</v>
      </c>
      <c r="F29" s="11">
        <v>0</v>
      </c>
      <c r="G29" s="12" t="e">
        <f t="shared" si="7"/>
        <v>#DIV/0!</v>
      </c>
      <c r="H29" s="11">
        <v>0</v>
      </c>
      <c r="I29" s="10">
        <f>SUMIF('[1]Booking Apr'!B:B,'[1]FY Target Sheet'!C29,'[1]Booking Apr'!K:K)-SUMIF('[1]Cancel Apr'!A:A,'[1]FY Target Sheet'!C29,'[1]Cancel Apr'!F:F)</f>
        <v>0</v>
      </c>
      <c r="J29" s="11">
        <v>0</v>
      </c>
      <c r="K29" s="10">
        <f>SUMIF('[1]Booking Apr'!B:B,C29,'[1]Booking Apr'!L:L)-SUMIF('[1]Cancel Apr'!A:A,'[1]FY Target Sheet'!C29,'[1]Cancel Apr'!G:G)</f>
        <v>0</v>
      </c>
      <c r="L29" s="11"/>
      <c r="M29" s="10">
        <f>SUMIF('[1]Coll Apr'!A:A,C29,'[1]Coll Apr'!J:J)*100000</f>
        <v>0</v>
      </c>
      <c r="N29" s="11"/>
      <c r="O29" s="20"/>
      <c r="P29" s="11">
        <v>0</v>
      </c>
      <c r="Q29" s="10">
        <f>COUNTIF('[1]Booking May'!B:B,'[1]FY Target Sheet'!C29)-COUNTIF('[1]Cancel May'!A:A,'[1]FY Target Sheet'!C29)</f>
        <v>0</v>
      </c>
      <c r="R29" s="11">
        <v>0</v>
      </c>
      <c r="S29" s="12" t="e">
        <f t="shared" si="8"/>
        <v>#DIV/0!</v>
      </c>
      <c r="T29" s="11">
        <v>0</v>
      </c>
      <c r="U29" s="10">
        <f>SUMIF('[1]Booking May'!B:B,'[1]FY Target Sheet'!C29,'[1]Booking May'!K:K)-SUMIF('[1]Cancel May'!A:A,'[1]FY Target Sheet'!C29,'[1]Cancel May'!F:F)</f>
        <v>0</v>
      </c>
      <c r="V29" s="11">
        <v>0</v>
      </c>
      <c r="W29" s="10">
        <f>SUMIF('[1]Booking May'!B:B,C29,'[1]Booking May'!L:L)-SUMIF('[1]Cancel May'!A:A,'[1]FY Target Sheet'!C29,'[1]Cancel May'!G:G)</f>
        <v>0</v>
      </c>
      <c r="X29" s="11"/>
      <c r="Y29" s="13">
        <f>SUMIF('[1]Coll May'!A:A,C29,'[1]Coll May'!J:J)*100000</f>
        <v>0</v>
      </c>
      <c r="Z29" s="11"/>
      <c r="AA29" s="11"/>
      <c r="AB29" s="11">
        <v>0</v>
      </c>
      <c r="AC29" s="11">
        <v>0</v>
      </c>
      <c r="AD29" s="11">
        <v>0</v>
      </c>
      <c r="AE29" s="11">
        <v>0</v>
      </c>
      <c r="AF29" s="17"/>
      <c r="AG29" s="11"/>
      <c r="AH29" s="11">
        <v>0</v>
      </c>
      <c r="AI29" s="11">
        <v>0</v>
      </c>
      <c r="AJ29" s="11">
        <v>0</v>
      </c>
      <c r="AK29" s="11">
        <v>0</v>
      </c>
      <c r="AL29" s="11"/>
      <c r="AM29" s="11"/>
      <c r="AN29" s="11">
        <v>50</v>
      </c>
      <c r="AO29" s="11">
        <v>11500</v>
      </c>
      <c r="AP29" s="11">
        <v>79400</v>
      </c>
      <c r="AQ29" s="11">
        <v>913100000</v>
      </c>
      <c r="AR29" s="11"/>
      <c r="AS29" s="11"/>
      <c r="AT29" s="11">
        <v>50</v>
      </c>
      <c r="AU29" s="11">
        <v>11500</v>
      </c>
      <c r="AV29" s="11">
        <v>79400</v>
      </c>
      <c r="AW29" s="11">
        <v>913100000</v>
      </c>
      <c r="AX29" s="11"/>
      <c r="AY29" s="11"/>
      <c r="AZ29" s="11">
        <v>50</v>
      </c>
      <c r="BA29" s="11">
        <v>11600</v>
      </c>
      <c r="BB29" s="11">
        <v>79400</v>
      </c>
      <c r="BC29" s="11">
        <v>921040000</v>
      </c>
      <c r="BD29" s="11"/>
      <c r="BE29" s="11"/>
      <c r="BF29" s="11">
        <v>50</v>
      </c>
      <c r="BG29" s="11">
        <v>11600</v>
      </c>
      <c r="BH29" s="11">
        <v>79400</v>
      </c>
      <c r="BI29" s="11">
        <v>921040000</v>
      </c>
      <c r="BJ29" s="11"/>
      <c r="BK29" s="11"/>
      <c r="BL29" s="11">
        <v>10</v>
      </c>
      <c r="BM29" s="11">
        <v>11700</v>
      </c>
      <c r="BN29" s="11">
        <v>15880</v>
      </c>
      <c r="BO29" s="11">
        <v>185796000</v>
      </c>
      <c r="BP29" s="17"/>
      <c r="BQ29" s="11"/>
      <c r="BR29" s="11">
        <v>10</v>
      </c>
      <c r="BS29" s="11">
        <v>11700</v>
      </c>
      <c r="BT29" s="11">
        <v>15880</v>
      </c>
      <c r="BU29" s="11">
        <v>185796000</v>
      </c>
      <c r="BV29" s="11"/>
      <c r="BW29" s="11"/>
      <c r="BX29" s="11">
        <v>10</v>
      </c>
      <c r="BY29" s="11">
        <v>11800</v>
      </c>
      <c r="BZ29" s="11">
        <v>15880</v>
      </c>
      <c r="CA29" s="11">
        <v>187384000</v>
      </c>
      <c r="CB29" s="11"/>
      <c r="CC29" s="11"/>
      <c r="CD29" s="11">
        <v>10</v>
      </c>
      <c r="CE29" s="11">
        <v>11800</v>
      </c>
      <c r="CF29" s="11">
        <v>15880</v>
      </c>
      <c r="CG29" s="11">
        <v>187384000</v>
      </c>
      <c r="CH29" s="17"/>
      <c r="CI29" s="11"/>
    </row>
    <row r="30" spans="1:87" ht="30" customHeight="1" x14ac:dyDescent="0.25">
      <c r="A30" s="7" t="s">
        <v>115</v>
      </c>
      <c r="B30" s="7" t="s">
        <v>87</v>
      </c>
      <c r="C30" s="7" t="s">
        <v>118</v>
      </c>
      <c r="D30" s="11">
        <v>0</v>
      </c>
      <c r="E30" s="10">
        <f>COUNTIF('[1]Booking Apr'!B:B,'[1]FY Target Sheet'!C30)-COUNTIF('[1]Cancel Apr'!A:A,'[1]FY Target Sheet'!C30)</f>
        <v>0</v>
      </c>
      <c r="F30" s="11">
        <v>0</v>
      </c>
      <c r="G30" s="12" t="e">
        <f t="shared" si="7"/>
        <v>#DIV/0!</v>
      </c>
      <c r="H30" s="11">
        <v>0</v>
      </c>
      <c r="I30" s="10">
        <f>SUMIF('[1]Booking Apr'!B:B,'[1]FY Target Sheet'!C30,'[1]Booking Apr'!K:K)-SUMIF('[1]Cancel Apr'!A:A,'[1]FY Target Sheet'!C30,'[1]Cancel Apr'!F:F)</f>
        <v>0</v>
      </c>
      <c r="J30" s="11">
        <v>0</v>
      </c>
      <c r="K30" s="10">
        <f>SUMIF('[1]Booking Apr'!B:B,C30,'[1]Booking Apr'!L:L)-SUMIF('[1]Cancel Apr'!A:A,'[1]FY Target Sheet'!C30,'[1]Cancel Apr'!G:G)</f>
        <v>0</v>
      </c>
      <c r="L30" s="11"/>
      <c r="M30" s="10">
        <f>SUMIF('[1]Coll Apr'!A:A,C30,'[1]Coll Apr'!J:J)*100000</f>
        <v>0</v>
      </c>
      <c r="N30" s="11"/>
      <c r="O30" s="20"/>
      <c r="P30" s="11">
        <v>8</v>
      </c>
      <c r="Q30" s="10">
        <f>COUNTIF('[1]Booking May'!B:B,'[1]FY Target Sheet'!C30)-COUNTIF('[1]Cancel May'!A:A,'[1]FY Target Sheet'!C30)</f>
        <v>0</v>
      </c>
      <c r="R30" s="11">
        <v>14219.077606964252</v>
      </c>
      <c r="S30" s="12" t="e">
        <f t="shared" si="8"/>
        <v>#DIV/0!</v>
      </c>
      <c r="T30" s="11">
        <v>26995</v>
      </c>
      <c r="U30" s="10">
        <f>SUMIF('[1]Booking May'!B:B,'[1]FY Target Sheet'!C30,'[1]Booking May'!K:K)-SUMIF('[1]Cancel May'!A:A,'[1]FY Target Sheet'!C30,'[1]Cancel May'!F:F)</f>
        <v>0</v>
      </c>
      <c r="V30" s="11">
        <v>383844000</v>
      </c>
      <c r="W30" s="10">
        <f>SUMIF('[1]Booking May'!B:B,C30,'[1]Booking May'!L:L)-SUMIF('[1]Cancel May'!A:A,'[1]FY Target Sheet'!C30,'[1]Cancel May'!G:G)</f>
        <v>0</v>
      </c>
      <c r="X30" s="11"/>
      <c r="Y30" s="13">
        <f>SUMIF('[1]Coll May'!A:A,C30,'[1]Coll May'!J:J)*100000</f>
        <v>0</v>
      </c>
      <c r="Z30" s="11"/>
      <c r="AA30" s="11"/>
      <c r="AB30" s="11">
        <v>8</v>
      </c>
      <c r="AC30" s="11">
        <v>14219.077606964252</v>
      </c>
      <c r="AD30" s="11">
        <v>26995</v>
      </c>
      <c r="AE30" s="11">
        <v>383844000</v>
      </c>
      <c r="AF30" s="17"/>
      <c r="AG30" s="11"/>
      <c r="AH30" s="11">
        <v>8</v>
      </c>
      <c r="AI30" s="11">
        <v>14716.500964534798</v>
      </c>
      <c r="AJ30" s="11">
        <v>26956</v>
      </c>
      <c r="AK30" s="11">
        <v>396698000</v>
      </c>
      <c r="AL30" s="11"/>
      <c r="AM30" s="11"/>
      <c r="AN30" s="11">
        <v>2</v>
      </c>
      <c r="AO30" s="11">
        <v>15425.363792833672</v>
      </c>
      <c r="AP30" s="11">
        <v>6391</v>
      </c>
      <c r="AQ30" s="11">
        <v>98583500</v>
      </c>
      <c r="AR30" s="11"/>
      <c r="AS30" s="11"/>
      <c r="AT30" s="11">
        <v>1</v>
      </c>
      <c r="AU30" s="11">
        <v>14500</v>
      </c>
      <c r="AV30" s="11">
        <v>3434</v>
      </c>
      <c r="AW30" s="11">
        <v>49793000</v>
      </c>
      <c r="AX30" s="11"/>
      <c r="AY30" s="11"/>
      <c r="AZ30" s="11">
        <v>1</v>
      </c>
      <c r="BA30" s="11">
        <v>15000</v>
      </c>
      <c r="BB30" s="11">
        <v>3434</v>
      </c>
      <c r="BC30" s="11">
        <v>51510000</v>
      </c>
      <c r="BD30" s="11"/>
      <c r="BE30" s="11"/>
      <c r="BF30" s="11">
        <v>1</v>
      </c>
      <c r="BG30" s="11">
        <v>15000</v>
      </c>
      <c r="BH30" s="11">
        <v>3434</v>
      </c>
      <c r="BI30" s="11">
        <v>51510000</v>
      </c>
      <c r="BJ30" s="11"/>
      <c r="BK30" s="11"/>
      <c r="BL30" s="11">
        <v>1</v>
      </c>
      <c r="BM30" s="11">
        <v>15000</v>
      </c>
      <c r="BN30" s="11">
        <v>3434</v>
      </c>
      <c r="BO30" s="11">
        <v>51510000</v>
      </c>
      <c r="BP30" s="17"/>
      <c r="BQ30" s="11"/>
      <c r="BR30" s="11">
        <v>2</v>
      </c>
      <c r="BS30" s="11">
        <v>15000</v>
      </c>
      <c r="BT30" s="11">
        <v>6868</v>
      </c>
      <c r="BU30" s="11">
        <v>103020000</v>
      </c>
      <c r="BV30" s="11"/>
      <c r="BW30" s="11"/>
      <c r="BX30" s="11">
        <v>2</v>
      </c>
      <c r="BY30" s="11">
        <v>15000</v>
      </c>
      <c r="BZ30" s="11">
        <v>6868</v>
      </c>
      <c r="CA30" s="11">
        <v>103020000</v>
      </c>
      <c r="CB30" s="11"/>
      <c r="CC30" s="11"/>
      <c r="CD30" s="11">
        <v>2</v>
      </c>
      <c r="CE30" s="11">
        <v>15000</v>
      </c>
      <c r="CF30" s="11">
        <v>6868</v>
      </c>
      <c r="CG30" s="11">
        <v>103020000</v>
      </c>
      <c r="CH30" s="17"/>
      <c r="CI30" s="11"/>
    </row>
    <row r="31" spans="1:87" ht="30" customHeight="1" x14ac:dyDescent="0.25">
      <c r="A31" s="7" t="s">
        <v>115</v>
      </c>
      <c r="B31" s="7" t="s">
        <v>87</v>
      </c>
      <c r="C31" s="7" t="s">
        <v>119</v>
      </c>
      <c r="D31" s="11">
        <v>2</v>
      </c>
      <c r="E31" s="10">
        <f>COUNTIF('[1]Booking Apr'!B:B,'[1]FY Target Sheet'!C31)-COUNTIF('[1]Cancel Apr'!A:A,'[1]FY Target Sheet'!C31)</f>
        <v>0</v>
      </c>
      <c r="F31" s="11">
        <v>6250</v>
      </c>
      <c r="G31" s="12" t="e">
        <f t="shared" si="7"/>
        <v>#DIV/0!</v>
      </c>
      <c r="H31" s="11">
        <v>2264</v>
      </c>
      <c r="I31" s="10">
        <f>SUMIF('[1]Booking Apr'!B:B,'[1]FY Target Sheet'!C31,'[1]Booking Apr'!K:K)-SUMIF('[1]Cancel Apr'!A:A,'[1]FY Target Sheet'!C31,'[1]Cancel Apr'!F:F)</f>
        <v>0</v>
      </c>
      <c r="J31" s="11">
        <v>14150000</v>
      </c>
      <c r="K31" s="10">
        <f>SUMIF('[1]Booking Apr'!B:B,C31,'[1]Booking Apr'!L:L)-SUMIF('[1]Cancel Apr'!A:A,'[1]FY Target Sheet'!C31,'[1]Cancel Apr'!G:G)</f>
        <v>0</v>
      </c>
      <c r="L31" s="11"/>
      <c r="M31" s="10">
        <f>SUMIF('[1]Coll Apr'!A:A,C31,'[1]Coll Apr'!J:J)*100000</f>
        <v>0</v>
      </c>
      <c r="N31" s="11">
        <f>'[1]Construction Budget'!D50*10000000</f>
        <v>4531029.5361019596</v>
      </c>
      <c r="O31" s="12"/>
      <c r="P31" s="11">
        <v>1</v>
      </c>
      <c r="Q31" s="10">
        <f>COUNTIF('[1]Booking May'!B:B,'[1]FY Target Sheet'!C31)-COUNTIF('[1]Cancel May'!A:A,'[1]FY Target Sheet'!C31)</f>
        <v>0</v>
      </c>
      <c r="R31" s="11">
        <v>6250</v>
      </c>
      <c r="S31" s="12" t="e">
        <f t="shared" si="8"/>
        <v>#DIV/0!</v>
      </c>
      <c r="T31" s="11">
        <v>1271</v>
      </c>
      <c r="U31" s="10">
        <f>SUMIF('[1]Booking May'!B:B,'[1]FY Target Sheet'!C31,'[1]Booking May'!K:K)-SUMIF('[1]Cancel May'!A:A,'[1]FY Target Sheet'!C31,'[1]Cancel May'!F:F)</f>
        <v>0</v>
      </c>
      <c r="V31" s="11">
        <v>7943750</v>
      </c>
      <c r="W31" s="10">
        <f>SUMIF('[1]Booking May'!B:B,C31,'[1]Booking May'!L:L)-SUMIF('[1]Cancel May'!A:A,'[1]FY Target Sheet'!C31,'[1]Cancel May'!G:G)</f>
        <v>0</v>
      </c>
      <c r="X31" s="11"/>
      <c r="Y31" s="13">
        <f>SUMIF('[1]Coll May'!A:A,C31,'[1]Coll May'!J:J)*100000</f>
        <v>0</v>
      </c>
      <c r="Z31" s="11">
        <f>'[1]Construction Budget'!E50*10000000</f>
        <v>5389710.9380569197</v>
      </c>
      <c r="AA31" s="15">
        <f>'[1]Construction Budget'!E51*10000000</f>
        <v>796009.75667200005</v>
      </c>
      <c r="AB31" s="11">
        <v>1</v>
      </c>
      <c r="AC31" s="11">
        <v>6250</v>
      </c>
      <c r="AD31" s="11">
        <v>1271</v>
      </c>
      <c r="AE31" s="11">
        <v>7943750</v>
      </c>
      <c r="AF31" s="17"/>
      <c r="AG31" s="11">
        <f>'[1]Construction Budget'!F50*10000000</f>
        <v>7447305.9955716357</v>
      </c>
      <c r="AH31" s="11">
        <v>2</v>
      </c>
      <c r="AI31" s="11">
        <v>6250</v>
      </c>
      <c r="AJ31" s="11">
        <v>2264</v>
      </c>
      <c r="AK31" s="11">
        <v>14150000</v>
      </c>
      <c r="AL31" s="11"/>
      <c r="AM31" s="11">
        <f>'[1]Construction Budget'!G50*10000000</f>
        <v>5972966.2299508564</v>
      </c>
      <c r="AN31" s="11">
        <v>4</v>
      </c>
      <c r="AO31" s="11">
        <v>6250</v>
      </c>
      <c r="AP31" s="11">
        <v>4528</v>
      </c>
      <c r="AQ31" s="11">
        <v>28300000</v>
      </c>
      <c r="AR31" s="11"/>
      <c r="AS31" s="11">
        <f>'[1]Construction Budget'!H50*10000000</f>
        <v>7031723.7417353913</v>
      </c>
      <c r="AT31" s="11">
        <v>4</v>
      </c>
      <c r="AU31" s="11">
        <v>6500</v>
      </c>
      <c r="AV31" s="11">
        <v>4528</v>
      </c>
      <c r="AW31" s="11">
        <v>29432000</v>
      </c>
      <c r="AX31" s="11"/>
      <c r="AY31" s="11">
        <f>'[1]Construction Budget'!I50*10000000</f>
        <v>7488607.0537189757</v>
      </c>
      <c r="AZ31" s="11">
        <v>4</v>
      </c>
      <c r="BA31" s="11">
        <v>6500</v>
      </c>
      <c r="BB31" s="11">
        <v>4528</v>
      </c>
      <c r="BC31" s="11">
        <v>29432000</v>
      </c>
      <c r="BD31" s="11"/>
      <c r="BE31" s="11">
        <f>'[1]Construction Budget'!J50*10000000</f>
        <v>4667379.6047801627</v>
      </c>
      <c r="BF31" s="11">
        <v>2</v>
      </c>
      <c r="BG31" s="11">
        <v>6500</v>
      </c>
      <c r="BH31" s="11">
        <v>2264</v>
      </c>
      <c r="BI31" s="11">
        <v>14716000</v>
      </c>
      <c r="BJ31" s="11"/>
      <c r="BK31" s="11">
        <f>'[1]Construction Budget'!K50*10000000</f>
        <v>5894375.9225422172</v>
      </c>
      <c r="BL31" s="11">
        <v>3</v>
      </c>
      <c r="BM31" s="11">
        <v>6700</v>
      </c>
      <c r="BN31" s="11">
        <v>3396</v>
      </c>
      <c r="BO31" s="11">
        <v>22753200</v>
      </c>
      <c r="BP31" s="17"/>
      <c r="BQ31" s="11">
        <f>'[1]Construction Budget'!L50*10000000</f>
        <v>3021303.5587683902</v>
      </c>
      <c r="BR31" s="11">
        <v>3</v>
      </c>
      <c r="BS31" s="11">
        <v>6700</v>
      </c>
      <c r="BT31" s="11">
        <v>3396</v>
      </c>
      <c r="BU31" s="11">
        <v>22753200</v>
      </c>
      <c r="BV31" s="11"/>
      <c r="BW31" s="11">
        <f>'[1]Construction Budget'!M50*10000000</f>
        <v>3154516.1871639178</v>
      </c>
      <c r="BX31" s="11">
        <v>2</v>
      </c>
      <c r="BY31" s="11">
        <v>6700</v>
      </c>
      <c r="BZ31" s="11">
        <v>2264</v>
      </c>
      <c r="CA31" s="11">
        <v>15168800</v>
      </c>
      <c r="CB31" s="11"/>
      <c r="CC31" s="11">
        <f>'[1]Construction Budget'!N50*10000000</f>
        <v>3028504.2413843637</v>
      </c>
      <c r="CD31" s="11">
        <v>2</v>
      </c>
      <c r="CE31" s="11">
        <v>6700</v>
      </c>
      <c r="CF31" s="11">
        <v>2264</v>
      </c>
      <c r="CG31" s="11">
        <v>15168800</v>
      </c>
      <c r="CH31" s="17"/>
      <c r="CI31" s="11">
        <f>'[1]Construction Budget'!O50*10000000</f>
        <v>2373344.9902251977</v>
      </c>
    </row>
    <row r="32" spans="1:87" ht="19.5" x14ac:dyDescent="0.25">
      <c r="A32" s="23"/>
      <c r="B32" s="23"/>
      <c r="C32" s="23" t="s">
        <v>114</v>
      </c>
      <c r="D32" s="26">
        <f>SUM(D28:D31)</f>
        <v>2</v>
      </c>
      <c r="E32" s="26">
        <f>SUM(E28:E31)</f>
        <v>0</v>
      </c>
      <c r="F32" s="26">
        <f>J32/H32</f>
        <v>6250</v>
      </c>
      <c r="G32" s="26"/>
      <c r="H32" s="27">
        <f>SUM(H28:H31)</f>
        <v>2264</v>
      </c>
      <c r="I32" s="27"/>
      <c r="J32" s="27">
        <f>SUM(J28:J31)</f>
        <v>14150000</v>
      </c>
      <c r="K32" s="27"/>
      <c r="L32" s="27">
        <f>SUM(L28:L31)</f>
        <v>0</v>
      </c>
      <c r="M32" s="27"/>
      <c r="N32" s="27">
        <f>SUM(N28:N31)</f>
        <v>4531029.5361019596</v>
      </c>
      <c r="O32" s="27">
        <f>SUM(O28:O31)</f>
        <v>0</v>
      </c>
      <c r="P32" s="26">
        <f>SUM(P28:P31)</f>
        <v>9</v>
      </c>
      <c r="Q32" s="26"/>
      <c r="R32" s="26">
        <f>V32/T32</f>
        <v>13860.742588268591</v>
      </c>
      <c r="S32" s="26"/>
      <c r="T32" s="27">
        <f>SUM(T28:T31)</f>
        <v>28266</v>
      </c>
      <c r="U32" s="27"/>
      <c r="V32" s="27">
        <f>SUM(V28:V31)</f>
        <v>391787750</v>
      </c>
      <c r="W32" s="27"/>
      <c r="X32" s="27">
        <f>SUM(X28:X31)</f>
        <v>0</v>
      </c>
      <c r="Y32" s="27"/>
      <c r="Z32" s="27">
        <f>SUM(Z28:Z31)</f>
        <v>5389710.9380569197</v>
      </c>
      <c r="AA32" s="27">
        <f>SUM(AA28:AA31)</f>
        <v>796009.75667200005</v>
      </c>
      <c r="AB32" s="26">
        <f>SUM(AB28:AB31)</f>
        <v>9</v>
      </c>
      <c r="AC32" s="26">
        <f>AE32/AD32</f>
        <v>13860.742588268591</v>
      </c>
      <c r="AD32" s="27">
        <f>SUM(AD28:AD31)</f>
        <v>28266</v>
      </c>
      <c r="AE32" s="27">
        <f>SUM(AE28:AE31)</f>
        <v>391787750</v>
      </c>
      <c r="AF32" s="27">
        <f>SUM(AF28:AF31)</f>
        <v>0</v>
      </c>
      <c r="AG32" s="27">
        <f>SUM(AG28:AG31)</f>
        <v>7447305.9955716357</v>
      </c>
      <c r="AH32" s="26">
        <f>SUM(AH28:AH31)</f>
        <v>10</v>
      </c>
      <c r="AI32" s="26">
        <f>AK32/AJ32</f>
        <v>14060.506502395619</v>
      </c>
      <c r="AJ32" s="27">
        <f>SUM(AJ28:AJ31)</f>
        <v>29220</v>
      </c>
      <c r="AK32" s="27">
        <f>SUM(AK28:AK31)</f>
        <v>410848000</v>
      </c>
      <c r="AL32" s="27">
        <f>SUM(AL28:AL31)</f>
        <v>0</v>
      </c>
      <c r="AM32" s="27">
        <f>SUM(AM28:AM31)</f>
        <v>5972966.2299508564</v>
      </c>
      <c r="AN32" s="26">
        <f>SUM(AN28:AN31)</f>
        <v>56</v>
      </c>
      <c r="AO32" s="26">
        <f>AQ32/AP32</f>
        <v>11514.559505751835</v>
      </c>
      <c r="AP32" s="27">
        <f>SUM(AP28:AP31)</f>
        <v>90319</v>
      </c>
      <c r="AQ32" s="27">
        <f>SUM(AQ28:AQ31)</f>
        <v>1039983500</v>
      </c>
      <c r="AR32" s="27">
        <f>SUM(AR28:AR31)</f>
        <v>0</v>
      </c>
      <c r="AS32" s="27">
        <f>SUM(AS28:AS31)</f>
        <v>7031723.7417353913</v>
      </c>
      <c r="AT32" s="26">
        <f>SUM(AT28:AT31)</f>
        <v>55</v>
      </c>
      <c r="AU32" s="26">
        <f>AW32/AV32</f>
        <v>11358.771548270415</v>
      </c>
      <c r="AV32" s="27">
        <f>SUM(AV28:AV31)</f>
        <v>87362</v>
      </c>
      <c r="AW32" s="27">
        <f>SUM(AW28:AW31)</f>
        <v>992325000</v>
      </c>
      <c r="AX32" s="27">
        <f>SUM(AX28:AX31)</f>
        <v>0</v>
      </c>
      <c r="AY32" s="27">
        <f>SUM(AY28:AY31)</f>
        <v>7488607.0537189757</v>
      </c>
      <c r="AZ32" s="26">
        <f>SUM(AZ28:AZ31)</f>
        <v>258</v>
      </c>
      <c r="BA32" s="26">
        <f>BC32/BB32</f>
        <v>8463.8371769631849</v>
      </c>
      <c r="BB32" s="27">
        <f>SUM(BB28:BB31)</f>
        <v>456643</v>
      </c>
      <c r="BC32" s="27">
        <f>SUM(BC28:BC31)</f>
        <v>3864952000</v>
      </c>
      <c r="BD32" s="27">
        <f>SUM(BD28:BD31)</f>
        <v>0</v>
      </c>
      <c r="BE32" s="27">
        <f>SUM(BE28:BE31)</f>
        <v>4667379.6047801627</v>
      </c>
      <c r="BF32" s="26">
        <f>SUM(BF28:BF31)</f>
        <v>156</v>
      </c>
      <c r="BG32" s="26">
        <f>BI32/BH32</f>
        <v>8983.0096467247495</v>
      </c>
      <c r="BH32" s="27">
        <f>SUM(BH28:BH31)</f>
        <v>273979</v>
      </c>
      <c r="BI32" s="27">
        <f>SUM(BI28:BI31)</f>
        <v>2461156000</v>
      </c>
      <c r="BJ32" s="27">
        <f>SUM(BJ28:BJ31)</f>
        <v>0</v>
      </c>
      <c r="BK32" s="27">
        <f>SUM(BK28:BK31)</f>
        <v>5894375.9225422172</v>
      </c>
      <c r="BL32" s="26">
        <f>SUM(BL28:BL31)</f>
        <v>67</v>
      </c>
      <c r="BM32" s="26">
        <f>BO32/BN32</f>
        <v>8711.1004934467965</v>
      </c>
      <c r="BN32" s="27">
        <f>SUM(BN28:BN31)</f>
        <v>121391</v>
      </c>
      <c r="BO32" s="27">
        <f>SUM(BO28:BO31)</f>
        <v>1057449200</v>
      </c>
      <c r="BP32" s="27">
        <f>SUM(BP28:BP31)</f>
        <v>0</v>
      </c>
      <c r="BQ32" s="27">
        <f>SUM(BQ28:BQ31)</f>
        <v>3021303.5587683902</v>
      </c>
      <c r="BR32" s="26">
        <f>SUM(BR28:BR31)</f>
        <v>67</v>
      </c>
      <c r="BS32" s="26">
        <f>BU32/BT32</f>
        <v>8932.1890522795456</v>
      </c>
      <c r="BT32" s="27">
        <f>SUM(BT28:BT31)</f>
        <v>121998</v>
      </c>
      <c r="BU32" s="27">
        <f>SUM(BU28:BU31)</f>
        <v>1089709200</v>
      </c>
      <c r="BV32" s="27">
        <f>SUM(BV28:BV31)</f>
        <v>0</v>
      </c>
      <c r="BW32" s="27">
        <f>SUM(BW28:BW31)</f>
        <v>3154516.1871639178</v>
      </c>
      <c r="BX32" s="26">
        <f>SUM(BX28:BX31)</f>
        <v>66</v>
      </c>
      <c r="BY32" s="26">
        <f>CA32/BZ32</f>
        <v>8966.2336802740228</v>
      </c>
      <c r="BZ32" s="27">
        <f>SUM(BZ28:BZ31)</f>
        <v>120866</v>
      </c>
      <c r="CA32" s="27">
        <f>SUM(CA28:CA31)</f>
        <v>1083712800</v>
      </c>
      <c r="CB32" s="27">
        <f>SUM(CB28:CB31)</f>
        <v>0</v>
      </c>
      <c r="CC32" s="27">
        <f>SUM(CC28:CC31)</f>
        <v>3028504.2413843637</v>
      </c>
      <c r="CD32" s="26">
        <f>SUM(CD28:CD31)</f>
        <v>66</v>
      </c>
      <c r="CE32" s="26">
        <f>CG32/CF32</f>
        <v>8966.2336802740228</v>
      </c>
      <c r="CF32" s="27">
        <f>SUM(CF28:CF31)</f>
        <v>120866</v>
      </c>
      <c r="CG32" s="27">
        <f>SUM(CG28:CG31)</f>
        <v>1083712800</v>
      </c>
      <c r="CH32" s="27">
        <f>SUM(CH28:CH31)</f>
        <v>0</v>
      </c>
      <c r="CI32" s="27">
        <f t="shared" ref="CI32" si="9">SUM(CI28:CI31)</f>
        <v>2373344.9902251977</v>
      </c>
    </row>
    <row r="33" spans="1:87" ht="19.5" x14ac:dyDescent="0.3">
      <c r="A33" s="30"/>
      <c r="B33" s="30"/>
      <c r="C33" s="30"/>
      <c r="D33" s="34"/>
      <c r="E33" s="35"/>
      <c r="F33" s="33"/>
      <c r="G33" s="33"/>
      <c r="H33" s="34"/>
      <c r="I33" s="34"/>
      <c r="J33" s="34"/>
      <c r="K33" s="34"/>
      <c r="L33" s="34"/>
      <c r="M33" s="34"/>
      <c r="N33" s="34"/>
      <c r="O33" s="34"/>
      <c r="P33" s="34"/>
      <c r="Q33" s="35"/>
      <c r="R33" s="34"/>
      <c r="S33" s="35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6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</row>
    <row r="34" spans="1:87" ht="58.5" x14ac:dyDescent="0.25">
      <c r="A34" s="23"/>
      <c r="B34" s="23"/>
      <c r="C34" s="23" t="s">
        <v>120</v>
      </c>
      <c r="D34" s="26">
        <f>D32+D25</f>
        <v>86</v>
      </c>
      <c r="E34" s="26">
        <f>E32+E25</f>
        <v>82</v>
      </c>
      <c r="F34" s="26"/>
      <c r="G34" s="26"/>
      <c r="H34" s="26">
        <f>H32+H25</f>
        <v>137022.79999999999</v>
      </c>
      <c r="I34" s="26"/>
      <c r="J34" s="26">
        <f>J32+J25</f>
        <v>1088281905</v>
      </c>
      <c r="K34" s="26"/>
      <c r="L34" s="26">
        <f>L32+L25</f>
        <v>911939203.7023809</v>
      </c>
      <c r="M34" s="26"/>
      <c r="N34" s="26">
        <f>N32+N25</f>
        <v>552083344.1931994</v>
      </c>
      <c r="O34" s="26">
        <f>O32+O25</f>
        <v>287599778.10125494</v>
      </c>
      <c r="P34" s="26"/>
      <c r="Q34" s="26"/>
      <c r="R34" s="26"/>
      <c r="S34" s="26"/>
      <c r="T34" s="27"/>
      <c r="U34" s="27"/>
      <c r="V34" s="27"/>
      <c r="W34" s="27"/>
      <c r="X34" s="27"/>
      <c r="Y34" s="27"/>
      <c r="Z34" s="26">
        <f>Z32+Z25</f>
        <v>602127467.59234118</v>
      </c>
      <c r="AA34" s="26">
        <f>AA32+AA25</f>
        <v>316159572.80686802</v>
      </c>
      <c r="AB34" s="26"/>
      <c r="AC34" s="26"/>
      <c r="AD34" s="27"/>
      <c r="AE34" s="27"/>
      <c r="AF34" s="27"/>
      <c r="AG34" s="26">
        <f>AG32+AG25</f>
        <v>683971634.68847287</v>
      </c>
      <c r="AH34" s="26"/>
      <c r="AI34" s="26"/>
      <c r="AJ34" s="27"/>
      <c r="AK34" s="27"/>
      <c r="AL34" s="27"/>
      <c r="AM34" s="26">
        <f>AM32+AM25</f>
        <v>791961081.54062438</v>
      </c>
      <c r="AN34" s="26"/>
      <c r="AO34" s="26"/>
      <c r="AP34" s="27"/>
      <c r="AQ34" s="27"/>
      <c r="AR34" s="27"/>
      <c r="AS34" s="26">
        <f>AS32+AS25</f>
        <v>891542555.64133322</v>
      </c>
      <c r="AT34" s="26"/>
      <c r="AU34" s="26"/>
      <c r="AV34" s="27"/>
      <c r="AW34" s="27"/>
      <c r="AX34" s="27"/>
      <c r="AY34" s="26">
        <f>AY32+AY25</f>
        <v>904360507.32626975</v>
      </c>
      <c r="AZ34" s="26"/>
      <c r="BA34" s="26"/>
      <c r="BB34" s="27"/>
      <c r="BC34" s="27"/>
      <c r="BD34" s="27"/>
      <c r="BE34" s="26">
        <f>BE32+BE25</f>
        <v>942611195.21357024</v>
      </c>
      <c r="BF34" s="26"/>
      <c r="BG34" s="26"/>
      <c r="BH34" s="27"/>
      <c r="BI34" s="27"/>
      <c r="BJ34" s="27"/>
      <c r="BK34" s="26">
        <f>BK32+BK25</f>
        <v>891921646.76779568</v>
      </c>
      <c r="BL34" s="26"/>
      <c r="BM34" s="26"/>
      <c r="BN34" s="27"/>
      <c r="BO34" s="27"/>
      <c r="BP34" s="27"/>
      <c r="BQ34" s="26">
        <f>BQ32+BQ25</f>
        <v>843076199.08545864</v>
      </c>
      <c r="BR34" s="26"/>
      <c r="BS34" s="26"/>
      <c r="BT34" s="27"/>
      <c r="BU34" s="27"/>
      <c r="BV34" s="27"/>
      <c r="BW34" s="26">
        <f>BW32+BW25</f>
        <v>750024331.61514068</v>
      </c>
      <c r="BX34" s="26"/>
      <c r="BY34" s="26"/>
      <c r="BZ34" s="27"/>
      <c r="CA34" s="27"/>
      <c r="CB34" s="27"/>
      <c r="CC34" s="26">
        <f>CC32+CC25</f>
        <v>831948961.84768856</v>
      </c>
      <c r="CD34" s="26"/>
      <c r="CE34" s="26"/>
      <c r="CF34" s="27"/>
      <c r="CG34" s="27"/>
      <c r="CH34" s="27"/>
      <c r="CI34" s="26">
        <f t="shared" ref="CI34" si="10">CI32+CI25</f>
        <v>814492674.48810518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workbookViewId="0">
      <selection activeCell="O64" sqref="O64"/>
    </sheetView>
  </sheetViews>
  <sheetFormatPr defaultRowHeight="15" x14ac:dyDescent="0.25"/>
  <cols>
    <col min="1" max="1" width="14.28515625" bestFit="1" customWidth="1"/>
    <col min="2" max="2" width="22.5703125" bestFit="1" customWidth="1"/>
    <col min="3" max="3" width="8.28515625" bestFit="1" customWidth="1"/>
    <col min="4" max="4" width="6.85546875" bestFit="1" customWidth="1"/>
    <col min="5" max="5" width="7.5703125" bestFit="1" customWidth="1"/>
    <col min="6" max="6" width="6.7109375" bestFit="1" customWidth="1"/>
    <col min="7" max="7" width="6.140625" bestFit="1" customWidth="1"/>
    <col min="8" max="8" width="7.140625" bestFit="1" customWidth="1"/>
    <col min="9" max="9" width="7" bestFit="1" customWidth="1"/>
    <col min="10" max="10" width="6.7109375" bestFit="1" customWidth="1"/>
    <col min="11" max="11" width="7.28515625" bestFit="1" customWidth="1"/>
    <col min="12" max="12" width="7" bestFit="1" customWidth="1"/>
    <col min="13" max="13" width="6.5703125" bestFit="1" customWidth="1"/>
    <col min="14" max="14" width="7" bestFit="1" customWidth="1"/>
    <col min="15" max="15" width="7.28515625" bestFit="1" customWidth="1"/>
  </cols>
  <sheetData>
    <row r="1" spans="1:15" ht="16.5" thickBot="1" x14ac:dyDescent="0.3">
      <c r="A1" s="37" t="s">
        <v>121</v>
      </c>
      <c r="B1" s="38" t="s">
        <v>122</v>
      </c>
      <c r="C1" s="39"/>
      <c r="D1" s="40">
        <v>46113</v>
      </c>
      <c r="E1" s="41">
        <v>46143</v>
      </c>
      <c r="F1" s="41">
        <v>46174</v>
      </c>
      <c r="G1" s="41">
        <v>46204</v>
      </c>
      <c r="H1" s="41">
        <v>46235</v>
      </c>
      <c r="I1" s="41">
        <v>46266</v>
      </c>
      <c r="J1" s="41">
        <v>46296</v>
      </c>
      <c r="K1" s="41">
        <v>46327</v>
      </c>
      <c r="L1" s="41">
        <v>46357</v>
      </c>
      <c r="M1" s="41">
        <v>46388</v>
      </c>
      <c r="N1" s="41">
        <v>46419</v>
      </c>
      <c r="O1" s="42">
        <v>46447</v>
      </c>
    </row>
    <row r="2" spans="1:15" ht="15.75" x14ac:dyDescent="0.25">
      <c r="A2" s="37"/>
      <c r="B2" s="43" t="s">
        <v>123</v>
      </c>
      <c r="C2" s="44" t="s">
        <v>124</v>
      </c>
      <c r="D2" s="44">
        <f>D5+D8+D11+D14+D17+D20+D23+D26+D29+D32+D35+D38+D41+D44+D47+D50+D53+D56</f>
        <v>55.208334419319947</v>
      </c>
      <c r="E2" s="44">
        <f t="shared" ref="E2:O3" si="0">E5+E8+E11+E14+E17+E20+E23+E26+E29+E32+E35+E38+E41+E44+E47+E50+E53+E56</f>
        <v>60.212746759234115</v>
      </c>
      <c r="F2" s="44">
        <f t="shared" si="0"/>
        <v>68.397163468847296</v>
      </c>
      <c r="G2" s="44">
        <f t="shared" si="0"/>
        <v>79.196108154062443</v>
      </c>
      <c r="H2" s="44">
        <f t="shared" si="0"/>
        <v>89.154255564133337</v>
      </c>
      <c r="I2" s="44">
        <f t="shared" si="0"/>
        <v>90.436050732626967</v>
      </c>
      <c r="J2" s="44">
        <f t="shared" si="0"/>
        <v>94.261119521357003</v>
      </c>
      <c r="K2" s="44">
        <f t="shared" si="0"/>
        <v>89.192164676779569</v>
      </c>
      <c r="L2" s="44">
        <f t="shared" si="0"/>
        <v>84.307619908545874</v>
      </c>
      <c r="M2" s="44">
        <f t="shared" si="0"/>
        <v>75.002433161514077</v>
      </c>
      <c r="N2" s="44">
        <f t="shared" si="0"/>
        <v>83.194896184768865</v>
      </c>
      <c r="O2" s="44">
        <f t="shared" si="0"/>
        <v>81.449267448810517</v>
      </c>
    </row>
    <row r="3" spans="1:15" ht="15.75" x14ac:dyDescent="0.25">
      <c r="A3" s="37"/>
      <c r="B3" s="43" t="s">
        <v>123</v>
      </c>
      <c r="C3" s="44" t="s">
        <v>125</v>
      </c>
      <c r="D3" s="44">
        <f>D6+D9+D12+D15+D18+D21+D24+D27+D30+D33+D36+D39+D42+D45+D48+D51+D54+D57</f>
        <v>29.067666197100394</v>
      </c>
      <c r="E3" s="44">
        <f t="shared" si="0"/>
        <v>31.615957280686807</v>
      </c>
      <c r="F3" s="44">
        <f t="shared" si="0"/>
        <v>0</v>
      </c>
      <c r="G3" s="44">
        <f t="shared" si="0"/>
        <v>0</v>
      </c>
      <c r="H3" s="44">
        <f t="shared" si="0"/>
        <v>0</v>
      </c>
      <c r="I3" s="44">
        <f t="shared" si="0"/>
        <v>0</v>
      </c>
      <c r="J3" s="44">
        <f t="shared" si="0"/>
        <v>0</v>
      </c>
      <c r="K3" s="44">
        <f t="shared" si="0"/>
        <v>0</v>
      </c>
      <c r="L3" s="44">
        <f t="shared" si="0"/>
        <v>0</v>
      </c>
      <c r="M3" s="44">
        <f t="shared" si="0"/>
        <v>0</v>
      </c>
      <c r="N3" s="44">
        <f t="shared" si="0"/>
        <v>0</v>
      </c>
      <c r="O3" s="44">
        <f t="shared" si="0"/>
        <v>0</v>
      </c>
    </row>
    <row r="4" spans="1:15" ht="15.75" x14ac:dyDescent="0.25">
      <c r="A4" s="37"/>
      <c r="B4" s="43" t="s">
        <v>123</v>
      </c>
      <c r="C4" s="44" t="s">
        <v>126</v>
      </c>
      <c r="D4" s="45">
        <f>D3/D2</f>
        <v>0.52650866038313726</v>
      </c>
      <c r="E4" s="45">
        <f>E3/E2</f>
        <v>0.52507083603254223</v>
      </c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5.75" x14ac:dyDescent="0.25">
      <c r="A5" s="46" t="s">
        <v>87</v>
      </c>
      <c r="B5" s="47" t="s">
        <v>127</v>
      </c>
      <c r="C5" s="48" t="s">
        <v>124</v>
      </c>
      <c r="D5" s="48">
        <v>8.2975269012319668</v>
      </c>
      <c r="E5" s="48">
        <v>8.5868029860174406</v>
      </c>
      <c r="F5" s="48">
        <v>9.35919072143367</v>
      </c>
      <c r="G5" s="48">
        <v>12.127370595819837</v>
      </c>
      <c r="H5" s="48">
        <v>12.06104681345229</v>
      </c>
      <c r="I5" s="48">
        <v>12.921313241553761</v>
      </c>
      <c r="J5" s="48">
        <v>12.210435829343748</v>
      </c>
      <c r="K5" s="48">
        <v>13.026793349648077</v>
      </c>
      <c r="L5" s="48">
        <v>12.130212430846386</v>
      </c>
      <c r="M5" s="48">
        <v>10.811711079667433</v>
      </c>
      <c r="N5" s="48">
        <v>12.130212430846386</v>
      </c>
      <c r="O5" s="48">
        <v>11.339111620139013</v>
      </c>
    </row>
    <row r="6" spans="1:15" ht="15.75" x14ac:dyDescent="0.25">
      <c r="A6" s="37"/>
      <c r="B6" s="47"/>
      <c r="C6" s="44" t="s">
        <v>125</v>
      </c>
      <c r="D6" s="44">
        <f>'[2]04-2026'!G8</f>
        <v>2.8323535439996999</v>
      </c>
      <c r="E6" s="44">
        <f>'[2]05-2026'!G8</f>
        <v>4.0911773410963006</v>
      </c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1:15" ht="15.75" x14ac:dyDescent="0.25">
      <c r="A7" s="37"/>
      <c r="B7" s="47"/>
      <c r="C7" s="44" t="s">
        <v>126</v>
      </c>
      <c r="D7" s="49">
        <f>D6/D5</f>
        <v>0.34134912459026423</v>
      </c>
      <c r="E7" s="49">
        <f>E6/E5</f>
        <v>0.47644942451320743</v>
      </c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5" ht="15.75" x14ac:dyDescent="0.25">
      <c r="A8" s="46" t="s">
        <v>87</v>
      </c>
      <c r="B8" s="47" t="s">
        <v>128</v>
      </c>
      <c r="C8" s="48" t="s">
        <v>124</v>
      </c>
      <c r="D8" s="48">
        <v>1.5625199999999999</v>
      </c>
      <c r="E8" s="48">
        <v>2.4271144000000002</v>
      </c>
      <c r="F8" s="48">
        <v>2.2916960000000004</v>
      </c>
      <c r="G8" s="48">
        <v>2.1875279999999999</v>
      </c>
      <c r="H8" s="48">
        <v>2.3021128000000002</v>
      </c>
      <c r="I8" s="48">
        <v>1.875024</v>
      </c>
      <c r="J8" s="48">
        <v>2.1666943999999999</v>
      </c>
      <c r="K8" s="48">
        <v>1.770856</v>
      </c>
      <c r="L8" s="48">
        <v>1.6041872000000001</v>
      </c>
      <c r="M8" s="48">
        <v>1.9791919999999998</v>
      </c>
      <c r="N8" s="48">
        <v>2.1979447999999997</v>
      </c>
      <c r="O8" s="48">
        <v>2.6354503999999999</v>
      </c>
    </row>
    <row r="9" spans="1:15" ht="15.75" x14ac:dyDescent="0.25">
      <c r="A9" s="37"/>
      <c r="B9" s="47"/>
      <c r="C9" s="44" t="s">
        <v>125</v>
      </c>
      <c r="D9" s="44">
        <f>'[2]04-2026'!G16</f>
        <v>0.24127498695500005</v>
      </c>
      <c r="E9" s="44">
        <f>'[2]05-2026'!G16</f>
        <v>0.627314965966</v>
      </c>
      <c r="F9" s="44"/>
      <c r="G9" s="44"/>
      <c r="H9" s="44"/>
      <c r="I9" s="44"/>
      <c r="J9" s="44"/>
      <c r="K9" s="44"/>
      <c r="L9" s="44"/>
      <c r="M9" s="44"/>
      <c r="N9" s="44"/>
      <c r="O9" s="44"/>
    </row>
    <row r="10" spans="1:15" ht="15.75" x14ac:dyDescent="0.25">
      <c r="A10" s="37"/>
      <c r="B10" s="47"/>
      <c r="C10" s="44" t="s">
        <v>126</v>
      </c>
      <c r="D10" s="49">
        <f>D9/D8</f>
        <v>0.15441401515180608</v>
      </c>
      <c r="E10" s="49">
        <f>E9/E8</f>
        <v>0.25846122702992491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</row>
    <row r="11" spans="1:15" ht="15.75" x14ac:dyDescent="0.25">
      <c r="A11" s="46" t="s">
        <v>87</v>
      </c>
      <c r="B11" s="47" t="s">
        <v>129</v>
      </c>
      <c r="C11" s="48" t="s">
        <v>124</v>
      </c>
      <c r="D11" s="48">
        <v>5.5858996367056939</v>
      </c>
      <c r="E11" s="48">
        <v>6.0158221747851721</v>
      </c>
      <c r="F11" s="48">
        <v>8.1148014736112177</v>
      </c>
      <c r="G11" s="48">
        <v>6.6208722097571604</v>
      </c>
      <c r="H11" s="48">
        <v>8.835553963920928</v>
      </c>
      <c r="I11" s="48">
        <v>8.8960643943625612</v>
      </c>
      <c r="J11" s="48">
        <v>9.4609007710769255</v>
      </c>
      <c r="K11" s="48">
        <v>9.100388852311216</v>
      </c>
      <c r="L11" s="48">
        <v>7.0125890590196764</v>
      </c>
      <c r="M11" s="48">
        <v>5.2994112400228408</v>
      </c>
      <c r="N11" s="48">
        <v>9.6758077706723231</v>
      </c>
      <c r="O11" s="48">
        <v>5.3830404537542824</v>
      </c>
    </row>
    <row r="12" spans="1:15" ht="15.75" x14ac:dyDescent="0.25">
      <c r="A12" s="37"/>
      <c r="B12" s="47"/>
      <c r="C12" s="44" t="s">
        <v>125</v>
      </c>
      <c r="D12" s="44">
        <f>'[2]04-2026'!G26</f>
        <v>2.4366195803718997</v>
      </c>
      <c r="E12" s="44">
        <f>'[2]05-2026'!G26</f>
        <v>1.9303090181922997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</row>
    <row r="13" spans="1:15" ht="15.75" x14ac:dyDescent="0.25">
      <c r="A13" s="37"/>
      <c r="B13" s="47"/>
      <c r="C13" s="44" t="s">
        <v>126</v>
      </c>
      <c r="D13" s="49">
        <f>D12/D11</f>
        <v>0.43620897954566645</v>
      </c>
      <c r="E13" s="49">
        <f>E12/E11</f>
        <v>0.32087202083250277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5" ht="15.75" x14ac:dyDescent="0.25">
      <c r="A14" s="46" t="s">
        <v>87</v>
      </c>
      <c r="B14" s="47" t="s">
        <v>130</v>
      </c>
      <c r="C14" s="48" t="s">
        <v>124</v>
      </c>
      <c r="D14" s="48">
        <v>5.6000716800000001</v>
      </c>
      <c r="E14" s="48">
        <v>6.65008512</v>
      </c>
      <c r="F14" s="48">
        <v>8.0501030400000015</v>
      </c>
      <c r="G14" s="48">
        <v>8.4001075200000006</v>
      </c>
      <c r="H14" s="48">
        <v>9.1001164800000005</v>
      </c>
      <c r="I14" s="48">
        <v>7.7000985600000007</v>
      </c>
      <c r="J14" s="48">
        <v>8.7501119999999997</v>
      </c>
      <c r="K14" s="48">
        <v>8.4001075200000006</v>
      </c>
      <c r="L14" s="48">
        <v>7.3500940799999999</v>
      </c>
      <c r="M14" s="50">
        <v>0</v>
      </c>
      <c r="N14" s="50">
        <v>0</v>
      </c>
      <c r="O14" s="50">
        <v>0</v>
      </c>
    </row>
    <row r="15" spans="1:15" ht="15.75" x14ac:dyDescent="0.25">
      <c r="A15" s="37"/>
      <c r="B15" s="47"/>
      <c r="C15" s="44" t="s">
        <v>125</v>
      </c>
      <c r="D15" s="44">
        <f>'[2]04-2026'!G37</f>
        <v>3.7146926673882001</v>
      </c>
      <c r="E15" s="44">
        <f>'[2]05-2026'!G37</f>
        <v>7.2783815645559002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5" ht="15.75" x14ac:dyDescent="0.25">
      <c r="A16" s="37"/>
      <c r="B16" s="47"/>
      <c r="C16" s="44" t="s">
        <v>126</v>
      </c>
      <c r="D16" s="49">
        <f>D15/D14</f>
        <v>0.66332948570190442</v>
      </c>
      <c r="E16" s="49">
        <f>E15/E14</f>
        <v>1.0944794590171953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</row>
    <row r="17" spans="1:15" ht="15.75" x14ac:dyDescent="0.25">
      <c r="A17" s="46" t="s">
        <v>87</v>
      </c>
      <c r="B17" s="47" t="s">
        <v>131</v>
      </c>
      <c r="C17" s="48" t="s">
        <v>124</v>
      </c>
      <c r="D17" s="48">
        <v>1.934336767481637</v>
      </c>
      <c r="E17" s="48">
        <v>1.4646423593041999</v>
      </c>
      <c r="F17" s="48">
        <v>0.95405214489752033</v>
      </c>
      <c r="G17" s="48">
        <v>3.4801442550839887</v>
      </c>
      <c r="H17" s="48">
        <v>3.5715187132265536</v>
      </c>
      <c r="I17" s="48">
        <v>3.6746355315735539</v>
      </c>
      <c r="J17" s="48">
        <v>3.9796669575738437</v>
      </c>
      <c r="K17" s="48">
        <v>3.6560996986071643</v>
      </c>
      <c r="L17" s="48">
        <v>3.9768325947658765</v>
      </c>
      <c r="M17" s="48">
        <v>4.6787647936532686</v>
      </c>
      <c r="N17" s="48">
        <v>5.7529433079870307</v>
      </c>
      <c r="O17" s="48">
        <v>2.8768748758453628</v>
      </c>
    </row>
    <row r="18" spans="1:15" ht="15.75" x14ac:dyDescent="0.25">
      <c r="A18" s="37"/>
      <c r="B18" s="47"/>
      <c r="C18" s="44" t="s">
        <v>125</v>
      </c>
      <c r="D18" s="44">
        <f>'[2]04-2026'!G46</f>
        <v>0.67186584465880006</v>
      </c>
      <c r="E18" s="44">
        <f>'[2]05-2026'!G46</f>
        <v>1.1757652247614001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</row>
    <row r="19" spans="1:15" ht="15.75" x14ac:dyDescent="0.25">
      <c r="A19" s="37"/>
      <c r="B19" s="47"/>
      <c r="C19" s="44" t="s">
        <v>126</v>
      </c>
      <c r="D19" s="49">
        <f>D18/D17</f>
        <v>0.34733654240234474</v>
      </c>
      <c r="E19" s="49">
        <f>E18/E17</f>
        <v>0.80276609323245629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ht="15.75" x14ac:dyDescent="0.25">
      <c r="A20" s="46" t="s">
        <v>87</v>
      </c>
      <c r="B20" s="47" t="s">
        <v>132</v>
      </c>
      <c r="C20" s="48" t="s">
        <v>124</v>
      </c>
      <c r="D20" s="48">
        <v>2.20002816</v>
      </c>
      <c r="E20" s="48">
        <v>3.0000383999999998</v>
      </c>
      <c r="F20" s="48">
        <v>3.6000460799999998</v>
      </c>
      <c r="G20" s="48">
        <v>3.4000435200000001</v>
      </c>
      <c r="H20" s="48">
        <v>4.6000588800000006</v>
      </c>
      <c r="I20" s="48">
        <v>3.2000409599999999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</row>
    <row r="21" spans="1:15" ht="15.75" x14ac:dyDescent="0.25">
      <c r="A21" s="37"/>
      <c r="B21" s="47"/>
      <c r="C21" s="44" t="s">
        <v>125</v>
      </c>
      <c r="D21" s="44">
        <f>'[2]04-2026'!G57</f>
        <v>3.0152850062995</v>
      </c>
      <c r="E21" s="44">
        <f>'[2]05-2026'!G57</f>
        <v>2.5144411707120002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5.75" x14ac:dyDescent="0.25">
      <c r="A22" s="37"/>
      <c r="B22" s="47"/>
      <c r="C22" s="44" t="s">
        <v>126</v>
      </c>
      <c r="D22" s="49">
        <f>D21/D20</f>
        <v>1.3705665505206532</v>
      </c>
      <c r="E22" s="49">
        <f>E21/E20</f>
        <v>0.83813632875899202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ht="15.75" x14ac:dyDescent="0.25">
      <c r="A23" s="46" t="s">
        <v>87</v>
      </c>
      <c r="B23" s="47" t="s">
        <v>133</v>
      </c>
      <c r="C23" s="48" t="s">
        <v>124</v>
      </c>
      <c r="D23" s="48">
        <v>2.1507854158131909</v>
      </c>
      <c r="E23" s="48">
        <v>3.2261781237197873</v>
      </c>
      <c r="F23" s="48">
        <v>3.3460075968865222</v>
      </c>
      <c r="G23" s="48">
        <v>4.7132926112249081</v>
      </c>
      <c r="H23" s="48">
        <v>5.214118358049979</v>
      </c>
      <c r="I23" s="48">
        <v>5.5428812716099953</v>
      </c>
      <c r="J23" s="48">
        <v>5.5613165751741089</v>
      </c>
      <c r="K23" s="48">
        <v>5.5797518787382234</v>
      </c>
      <c r="L23" s="48">
        <v>4.3200061351904955</v>
      </c>
      <c r="M23" s="48">
        <v>2.5625071954117167</v>
      </c>
      <c r="N23" s="48">
        <v>1.8681107611634575</v>
      </c>
      <c r="O23" s="48">
        <v>5.9156840770176169</v>
      </c>
    </row>
    <row r="24" spans="1:15" ht="15.75" x14ac:dyDescent="0.25">
      <c r="A24" s="37"/>
      <c r="B24" s="47"/>
      <c r="C24" s="44" t="s">
        <v>125</v>
      </c>
      <c r="D24" s="44">
        <f>'[2]04-2026'!G61</f>
        <v>0.94510000000000005</v>
      </c>
      <c r="E24" s="44">
        <f>'[2]05-2026'!G61</f>
        <v>0.37999999999999901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5.75" x14ac:dyDescent="0.25">
      <c r="A25" s="37"/>
      <c r="B25" s="47"/>
      <c r="C25" s="44" t="s">
        <v>126</v>
      </c>
      <c r="D25" s="49">
        <f>D24/D23</f>
        <v>0.43942087065095103</v>
      </c>
      <c r="E25" s="49">
        <f>E24/E23</f>
        <v>0.11778642884164701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ht="15.75" x14ac:dyDescent="0.25">
      <c r="A26" s="46" t="s">
        <v>87</v>
      </c>
      <c r="B26" s="47" t="s">
        <v>134</v>
      </c>
      <c r="C26" s="48" t="s">
        <v>124</v>
      </c>
      <c r="D26" s="50">
        <v>0</v>
      </c>
      <c r="E26" s="50">
        <v>0</v>
      </c>
      <c r="F26" s="50">
        <v>0</v>
      </c>
      <c r="G26" s="50">
        <v>0</v>
      </c>
      <c r="H26" s="48">
        <v>0.22000281599999999</v>
      </c>
      <c r="I26" s="48">
        <v>0.28000358400000003</v>
      </c>
      <c r="J26" s="48">
        <v>0.32000409600000002</v>
      </c>
      <c r="K26" s="48">
        <v>0.18000230399999997</v>
      </c>
      <c r="L26" s="48">
        <v>0.30000383999999997</v>
      </c>
      <c r="M26" s="48">
        <v>0.26000332800000003</v>
      </c>
      <c r="N26" s="48">
        <v>0.24000307199999998</v>
      </c>
      <c r="O26" s="48">
        <v>0.20000256</v>
      </c>
    </row>
    <row r="27" spans="1:15" ht="15.75" x14ac:dyDescent="0.25">
      <c r="A27" s="37"/>
      <c r="B27" s="47"/>
      <c r="C27" s="44" t="s">
        <v>125</v>
      </c>
      <c r="D27" s="44">
        <f>'[2]04-2026'!G80</f>
        <v>0.2635577442</v>
      </c>
      <c r="E27" s="44">
        <f>'[2]05-2026'!G80</f>
        <v>6.588943605E-2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5.75" x14ac:dyDescent="0.25">
      <c r="A28" s="37"/>
      <c r="B28" s="47"/>
      <c r="C28" s="44" t="s">
        <v>126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ht="15.75" x14ac:dyDescent="0.25">
      <c r="A29" s="46" t="s">
        <v>87</v>
      </c>
      <c r="B29" s="47" t="s">
        <v>135</v>
      </c>
      <c r="C29" s="48" t="s">
        <v>124</v>
      </c>
      <c r="D29" s="48">
        <v>1.0977574445498852</v>
      </c>
      <c r="E29" s="48">
        <v>1.124658533575668</v>
      </c>
      <c r="F29" s="48">
        <v>1.124658533575668</v>
      </c>
      <c r="G29" s="48">
        <v>1.7278219646470332</v>
      </c>
      <c r="H29" s="48">
        <v>1.5828616867128822</v>
      </c>
      <c r="I29" s="48">
        <v>1.7487718411529125</v>
      </c>
      <c r="J29" s="48">
        <v>1.8681982005050424</v>
      </c>
      <c r="K29" s="48">
        <v>1.4820127610377496</v>
      </c>
      <c r="L29" s="48">
        <v>1.2090612030302543</v>
      </c>
      <c r="M29" s="48">
        <v>1.0398135442716292</v>
      </c>
      <c r="N29" s="48">
        <v>0.83811569292136479</v>
      </c>
      <c r="O29" s="48">
        <v>0.15646059401991219</v>
      </c>
    </row>
    <row r="30" spans="1:15" ht="15.75" x14ac:dyDescent="0.25">
      <c r="A30" s="37"/>
      <c r="B30" s="47"/>
      <c r="C30" s="44" t="s">
        <v>125</v>
      </c>
      <c r="D30" s="44">
        <f>'[2]04-2026'!G91</f>
        <v>1.6909780913312003</v>
      </c>
      <c r="E30" s="44">
        <f>'[2]05-2026'!G91</f>
        <v>1.3814687090919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5.75" x14ac:dyDescent="0.25">
      <c r="A31" s="37"/>
      <c r="B31" s="47"/>
      <c r="C31" s="44" t="s">
        <v>126</v>
      </c>
      <c r="D31" s="49">
        <f>D30/D29</f>
        <v>1.5403931895215286</v>
      </c>
      <c r="E31" s="49">
        <f>E30/E29</f>
        <v>1.2283450201544694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ht="15.75" x14ac:dyDescent="0.25">
      <c r="A32" s="46" t="s">
        <v>87</v>
      </c>
      <c r="B32" s="47" t="s">
        <v>136</v>
      </c>
      <c r="C32" s="48" t="s">
        <v>124</v>
      </c>
      <c r="D32" s="48">
        <v>5.2383569258940961</v>
      </c>
      <c r="E32" s="48">
        <v>5.7546944970405196</v>
      </c>
      <c r="F32" s="48">
        <v>9.7656809460531377</v>
      </c>
      <c r="G32" s="48">
        <v>7.6170244438311983</v>
      </c>
      <c r="H32" s="48">
        <v>8.715123808895699</v>
      </c>
      <c r="I32" s="48">
        <v>8.4852124463509355</v>
      </c>
      <c r="J32" s="48">
        <v>11.71473693899104</v>
      </c>
      <c r="K32" s="48">
        <v>9.4856488298173254</v>
      </c>
      <c r="L32" s="48">
        <v>8.6468350365769577</v>
      </c>
      <c r="M32" s="48">
        <v>8.7742761102556006</v>
      </c>
      <c r="N32" s="48">
        <v>7.6389840739517281</v>
      </c>
      <c r="O32" s="48">
        <v>8.1647059423417581</v>
      </c>
    </row>
    <row r="33" spans="1:15" ht="15.75" x14ac:dyDescent="0.25">
      <c r="A33" s="37"/>
      <c r="B33" s="47"/>
      <c r="C33" s="44" t="s">
        <v>125</v>
      </c>
      <c r="D33" s="44">
        <f>'[2]04-2026'!G100</f>
        <v>3.7366644630400003</v>
      </c>
      <c r="E33" s="44">
        <f>'[2]05-2026'!G100</f>
        <v>3.4447375516171999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5.75" x14ac:dyDescent="0.25">
      <c r="A34" s="37"/>
      <c r="B34" s="47"/>
      <c r="C34" s="44" t="s">
        <v>126</v>
      </c>
      <c r="D34" s="49">
        <f>D33/D32</f>
        <v>0.71332757883851472</v>
      </c>
      <c r="E34" s="49">
        <f>E33/E32</f>
        <v>0.59859607723550456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 ht="15.75" x14ac:dyDescent="0.25">
      <c r="A35" s="46" t="s">
        <v>87</v>
      </c>
      <c r="B35" s="47" t="s">
        <v>137</v>
      </c>
      <c r="C35" s="48" t="s">
        <v>124</v>
      </c>
      <c r="D35" s="48">
        <v>0.50469162054405048</v>
      </c>
      <c r="E35" s="48">
        <v>0.75703743081607577</v>
      </c>
      <c r="F35" s="48">
        <v>0.75703743081607577</v>
      </c>
      <c r="G35" s="48">
        <v>0.8691911242703092</v>
      </c>
      <c r="H35" s="48">
        <v>1.0912554373096912</v>
      </c>
      <c r="I35" s="48">
        <v>1.2022875938293827</v>
      </c>
      <c r="J35" s="48">
        <v>1.2022875938293827</v>
      </c>
      <c r="K35" s="48">
        <v>0.71778363810709378</v>
      </c>
      <c r="L35" s="48">
        <v>0.63703297882004606</v>
      </c>
      <c r="M35" s="48">
        <v>0.72908873040728084</v>
      </c>
      <c r="N35" s="48">
        <v>1.5422478694278554</v>
      </c>
      <c r="O35" s="48">
        <v>1.9902121518227547</v>
      </c>
    </row>
    <row r="36" spans="1:15" ht="15.75" x14ac:dyDescent="0.25">
      <c r="A36" s="37"/>
      <c r="B36" s="47"/>
      <c r="C36" s="44" t="s">
        <v>125</v>
      </c>
      <c r="D36" s="44">
        <v>0</v>
      </c>
      <c r="E36" s="44">
        <f>'[2]05-2026'!G103</f>
        <v>8.9700000000000002E-2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5.75" x14ac:dyDescent="0.25">
      <c r="A37" s="37"/>
      <c r="B37" s="47"/>
      <c r="C37" s="44" t="s">
        <v>126</v>
      </c>
      <c r="D37" s="49">
        <f>D36/D35</f>
        <v>0</v>
      </c>
      <c r="E37" s="49">
        <f>E36/E35</f>
        <v>0.11848819668441579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ht="15.75" x14ac:dyDescent="0.25">
      <c r="A38" s="46" t="s">
        <v>104</v>
      </c>
      <c r="B38" s="47" t="s">
        <v>138</v>
      </c>
      <c r="C38" s="48" t="s">
        <v>124</v>
      </c>
      <c r="D38" s="48">
        <v>4.6718535319044596</v>
      </c>
      <c r="E38" s="48">
        <v>4.9195027372331941</v>
      </c>
      <c r="F38" s="48">
        <v>5.0016850709517851</v>
      </c>
      <c r="G38" s="48">
        <v>6.461415875407897</v>
      </c>
      <c r="H38" s="48">
        <v>7.3484312408807293</v>
      </c>
      <c r="I38" s="48">
        <v>7.6996624976978891</v>
      </c>
      <c r="J38" s="48">
        <v>7.1740277302483619</v>
      </c>
      <c r="K38" s="48">
        <v>7.825776017434114</v>
      </c>
      <c r="L38" s="48">
        <v>8.3542749277177855</v>
      </c>
      <c r="M38" s="48">
        <v>8.8409217891662859</v>
      </c>
      <c r="N38" s="48">
        <v>7.581073187846985</v>
      </c>
      <c r="O38" s="48">
        <v>9.1224633935105217</v>
      </c>
    </row>
    <row r="39" spans="1:15" ht="15.75" x14ac:dyDescent="0.25">
      <c r="A39" s="37"/>
      <c r="B39" s="47"/>
      <c r="C39" s="44" t="s">
        <v>125</v>
      </c>
      <c r="D39" s="44">
        <f>'[2]04-2026'!G116</f>
        <v>1.1355933580323998</v>
      </c>
      <c r="E39" s="44">
        <f>'[2]05-2026'!G116</f>
        <v>2.1503789088504002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5.75" x14ac:dyDescent="0.25">
      <c r="A40" s="37"/>
      <c r="B40" s="47"/>
      <c r="C40" s="44" t="s">
        <v>126</v>
      </c>
      <c r="D40" s="49">
        <f>D39/D38</f>
        <v>0.24307126716994495</v>
      </c>
      <c r="E40" s="49">
        <f>E39/E38</f>
        <v>0.43711306278483891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ht="15.75" x14ac:dyDescent="0.25">
      <c r="A41" s="46" t="s">
        <v>104</v>
      </c>
      <c r="B41" s="47" t="s">
        <v>139</v>
      </c>
      <c r="C41" s="48" t="s">
        <v>124</v>
      </c>
      <c r="D41" s="48">
        <v>5.000064000000001</v>
      </c>
      <c r="E41" s="48">
        <v>4.5000575999999999</v>
      </c>
      <c r="F41" s="48">
        <v>4.2500543999999998</v>
      </c>
      <c r="G41" s="48">
        <v>6.7500864000000007</v>
      </c>
      <c r="H41" s="48">
        <v>7.5000959999999992</v>
      </c>
      <c r="I41" s="48">
        <v>9.7501248</v>
      </c>
      <c r="J41" s="48">
        <v>10.2501312</v>
      </c>
      <c r="K41" s="48">
        <v>9.2501183999999981</v>
      </c>
      <c r="L41" s="48">
        <v>10.7501376</v>
      </c>
      <c r="M41" s="48">
        <v>10.000128000000002</v>
      </c>
      <c r="N41" s="48">
        <v>12.000153599999999</v>
      </c>
      <c r="O41" s="48">
        <v>10.000128000000002</v>
      </c>
    </row>
    <row r="42" spans="1:15" ht="15.75" x14ac:dyDescent="0.25">
      <c r="A42" s="37"/>
      <c r="B42" s="47"/>
      <c r="C42" s="44" t="s">
        <v>125</v>
      </c>
      <c r="D42" s="44">
        <f>'[2]04-2026'!G120</f>
        <v>2</v>
      </c>
      <c r="E42" s="44">
        <f>'[2]05-2026'!G120</f>
        <v>1.1799999999999997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5.75" x14ac:dyDescent="0.25">
      <c r="A43" s="37"/>
      <c r="B43" s="47"/>
      <c r="C43" s="44" t="s">
        <v>126</v>
      </c>
      <c r="D43" s="49">
        <f>D42/D41</f>
        <v>0.39999488006553507</v>
      </c>
      <c r="E43" s="49">
        <f>E42/E41</f>
        <v>0.26221886582073967</v>
      </c>
      <c r="F43" s="49"/>
      <c r="G43" s="49"/>
      <c r="H43" s="49"/>
      <c r="I43" s="49"/>
      <c r="J43" s="49"/>
      <c r="K43" s="49"/>
      <c r="L43" s="49"/>
      <c r="M43" s="49"/>
      <c r="N43" s="49"/>
      <c r="O43" s="49"/>
    </row>
    <row r="44" spans="1:15" ht="15.75" x14ac:dyDescent="0.25">
      <c r="A44" s="46" t="s">
        <v>104</v>
      </c>
      <c r="B44" s="47" t="s">
        <v>140</v>
      </c>
      <c r="C44" s="48" t="s">
        <v>124</v>
      </c>
      <c r="D44" s="48">
        <v>2.6595670676076399</v>
      </c>
      <c r="E44" s="48">
        <v>3.1755808953989049</v>
      </c>
      <c r="F44" s="48">
        <v>3.403366458190245</v>
      </c>
      <c r="G44" s="48">
        <v>3.9354441236304747</v>
      </c>
      <c r="H44" s="48">
        <v>4.4958706683018015</v>
      </c>
      <c r="I44" s="48">
        <v>4.6022073604688725</v>
      </c>
      <c r="J44" s="48">
        <v>5.1939084723975872</v>
      </c>
      <c r="K44" s="48">
        <v>5.501880819962083</v>
      </c>
      <c r="L44" s="48">
        <v>5.6187624853097615</v>
      </c>
      <c r="M44" s="48">
        <v>6.5595317748619797</v>
      </c>
      <c r="N44" s="48">
        <v>7.1260037920782118</v>
      </c>
      <c r="O44" s="48">
        <v>7.7286440817924191</v>
      </c>
    </row>
    <row r="45" spans="1:15" ht="15.75" x14ac:dyDescent="0.25">
      <c r="A45" s="37"/>
      <c r="B45" s="47"/>
      <c r="C45" s="44" t="s">
        <v>125</v>
      </c>
      <c r="D45" s="44">
        <f>'[2]04-2026'!G124</f>
        <v>1.2799999999999976</v>
      </c>
      <c r="E45" s="44">
        <f>'[2]05-2026'!G124</f>
        <v>1.3300000000000018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5.75" x14ac:dyDescent="0.25">
      <c r="A46" s="37"/>
      <c r="B46" s="47"/>
      <c r="C46" s="44" t="s">
        <v>126</v>
      </c>
      <c r="D46" s="49">
        <f>D45/D44</f>
        <v>0.48128133920360044</v>
      </c>
      <c r="E46" s="49">
        <f>E45/E44</f>
        <v>0.41882101064628435</v>
      </c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1:15" ht="15.75" x14ac:dyDescent="0.25">
      <c r="A47" s="46" t="s">
        <v>104</v>
      </c>
      <c r="B47" s="47" t="s">
        <v>141</v>
      </c>
      <c r="C47" s="48" t="s">
        <v>124</v>
      </c>
      <c r="D47" s="48">
        <v>3.851715993977133</v>
      </c>
      <c r="E47" s="48">
        <v>2.9214944875374615</v>
      </c>
      <c r="F47" s="48">
        <v>2.8839921728742728</v>
      </c>
      <c r="G47" s="48">
        <v>3.5083818473945545</v>
      </c>
      <c r="H47" s="48">
        <v>5.3628329632092369</v>
      </c>
      <c r="I47" s="48">
        <v>5.1087723446552147</v>
      </c>
      <c r="J47" s="48">
        <v>6.7418686357389728</v>
      </c>
      <c r="K47" s="48">
        <v>5.025409734862289</v>
      </c>
      <c r="L47" s="48">
        <v>5.1453710213917976</v>
      </c>
      <c r="M47" s="48">
        <v>5.801537877079646</v>
      </c>
      <c r="N47" s="48">
        <v>5.8003366017350793</v>
      </c>
      <c r="O47" s="48">
        <v>7.8490543195443472</v>
      </c>
    </row>
    <row r="48" spans="1:15" ht="15.75" x14ac:dyDescent="0.25">
      <c r="A48" s="37"/>
      <c r="B48" s="47"/>
      <c r="C48" s="44" t="s">
        <v>125</v>
      </c>
      <c r="D48" s="44">
        <f>'[2]04-2026'!G134</f>
        <v>1.3259925238488002</v>
      </c>
      <c r="E48" s="44">
        <f>'[2]05-2026'!G134</f>
        <v>1.3454924141262001</v>
      </c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5.75" x14ac:dyDescent="0.25">
      <c r="A49" s="37"/>
      <c r="B49" s="47"/>
      <c r="C49" s="44" t="s">
        <v>126</v>
      </c>
      <c r="D49" s="49">
        <f>D48/D47</f>
        <v>0.3442602014069141</v>
      </c>
      <c r="E49" s="49">
        <f>E48/E47</f>
        <v>0.46054935919469103</v>
      </c>
      <c r="F49" s="49"/>
      <c r="G49" s="49"/>
      <c r="H49" s="49"/>
      <c r="I49" s="49"/>
      <c r="J49" s="49"/>
      <c r="K49" s="49"/>
      <c r="L49" s="49"/>
      <c r="M49" s="49"/>
      <c r="N49" s="49"/>
      <c r="O49" s="49"/>
    </row>
    <row r="50" spans="1:15" ht="15.75" x14ac:dyDescent="0.25">
      <c r="A50" s="46" t="s">
        <v>87</v>
      </c>
      <c r="B50" s="47" t="s">
        <v>142</v>
      </c>
      <c r="C50" s="48" t="s">
        <v>124</v>
      </c>
      <c r="D50" s="48">
        <v>0.45310295361019598</v>
      </c>
      <c r="E50" s="48">
        <v>0.53897109380569197</v>
      </c>
      <c r="F50" s="48">
        <v>0.74473059955716359</v>
      </c>
      <c r="G50" s="48">
        <v>0.59729662299508568</v>
      </c>
      <c r="H50" s="48">
        <v>0.70317237417353917</v>
      </c>
      <c r="I50" s="48">
        <v>0.74886070537189753</v>
      </c>
      <c r="J50" s="48">
        <v>0.46673796047801624</v>
      </c>
      <c r="K50" s="48">
        <v>0.58943759225422176</v>
      </c>
      <c r="L50" s="48">
        <v>0.30213035587683901</v>
      </c>
      <c r="M50" s="48">
        <v>0.31545161871639177</v>
      </c>
      <c r="N50" s="48">
        <v>0.30285042413843638</v>
      </c>
      <c r="O50" s="48">
        <v>0.23733449902251977</v>
      </c>
    </row>
    <row r="51" spans="1:15" ht="15.75" x14ac:dyDescent="0.25">
      <c r="A51" s="37"/>
      <c r="B51" s="47"/>
      <c r="C51" s="44" t="s">
        <v>125</v>
      </c>
      <c r="D51" s="44">
        <f>'[2]04-2026'!G142</f>
        <v>0.30768838697489997</v>
      </c>
      <c r="E51" s="44">
        <f>'[2]05-2026'!G142</f>
        <v>7.9600975667200008E-2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5.75" x14ac:dyDescent="0.25">
      <c r="A52" s="37"/>
      <c r="B52" s="47"/>
      <c r="C52" s="44" t="s">
        <v>126</v>
      </c>
      <c r="D52" s="49">
        <f>D51/D50</f>
        <v>0.67906947973595422</v>
      </c>
      <c r="E52" s="49">
        <f>E51/E50</f>
        <v>0.14769062122633517</v>
      </c>
      <c r="F52" s="49"/>
      <c r="G52" s="49"/>
      <c r="H52" s="49"/>
      <c r="I52" s="49"/>
      <c r="J52" s="49"/>
      <c r="K52" s="49"/>
      <c r="L52" s="49"/>
      <c r="M52" s="49"/>
      <c r="N52" s="49"/>
      <c r="O52" s="49"/>
    </row>
    <row r="53" spans="1:15" ht="15.75" x14ac:dyDescent="0.25">
      <c r="A53" s="46" t="s">
        <v>101</v>
      </c>
      <c r="B53" s="47" t="s">
        <v>143</v>
      </c>
      <c r="C53" s="48" t="s">
        <v>124</v>
      </c>
      <c r="D53" s="48">
        <v>3.3000422399999998</v>
      </c>
      <c r="E53" s="48">
        <v>3.9000499200000003</v>
      </c>
      <c r="F53" s="48">
        <v>3.6000460799999994</v>
      </c>
      <c r="G53" s="48">
        <v>5.1000652800000008</v>
      </c>
      <c r="H53" s="48">
        <v>4.6500595200000001</v>
      </c>
      <c r="I53" s="48">
        <v>4.9500633599999997</v>
      </c>
      <c r="J53" s="48">
        <v>5.4000691199999995</v>
      </c>
      <c r="K53" s="48">
        <v>5.7000729600000009</v>
      </c>
      <c r="L53" s="48">
        <v>5.1000652800000008</v>
      </c>
      <c r="M53" s="48">
        <v>5.5500710399999997</v>
      </c>
      <c r="N53" s="48">
        <v>6.30008064</v>
      </c>
      <c r="O53" s="48">
        <v>6.4500825600000002</v>
      </c>
    </row>
    <row r="54" spans="1:15" ht="15.75" x14ac:dyDescent="0.25">
      <c r="A54" s="37"/>
      <c r="B54" s="47"/>
      <c r="C54" s="44" t="s">
        <v>125</v>
      </c>
      <c r="D54" s="44">
        <f>'[2]04-2026'!G146</f>
        <v>2.6800000000000006</v>
      </c>
      <c r="E54" s="44">
        <f>'[2]05-2026'!G146</f>
        <v>1.5712999999999997</v>
      </c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5.75" x14ac:dyDescent="0.25">
      <c r="A55" s="37"/>
      <c r="B55" s="47"/>
      <c r="C55" s="44" t="s">
        <v>126</v>
      </c>
      <c r="D55" s="49">
        <f>D54/D53</f>
        <v>0.81211081710275346</v>
      </c>
      <c r="E55" s="49">
        <f>E54/E53</f>
        <v>0.40289227887626616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5" ht="15.75" x14ac:dyDescent="0.25">
      <c r="A56" s="46" t="s">
        <v>101</v>
      </c>
      <c r="B56" s="47" t="s">
        <v>144</v>
      </c>
      <c r="C56" s="48" t="s">
        <v>124</v>
      </c>
      <c r="D56" s="48">
        <v>1.10001408</v>
      </c>
      <c r="E56" s="48">
        <v>1.250016</v>
      </c>
      <c r="F56" s="48">
        <v>1.1500147200000002</v>
      </c>
      <c r="G56" s="48">
        <v>1.70002176</v>
      </c>
      <c r="H56" s="48">
        <v>1.8000230399999997</v>
      </c>
      <c r="I56" s="48">
        <v>2.0500262399999998</v>
      </c>
      <c r="J56" s="48">
        <v>1.8000230399999997</v>
      </c>
      <c r="K56" s="48">
        <v>1.9000243199999998</v>
      </c>
      <c r="L56" s="48">
        <v>1.8500236800000001</v>
      </c>
      <c r="M56" s="48">
        <v>1.8000230399999997</v>
      </c>
      <c r="N56" s="48">
        <v>2.20002816</v>
      </c>
      <c r="O56" s="48">
        <v>1.40001792</v>
      </c>
    </row>
    <row r="57" spans="1:15" ht="15.75" x14ac:dyDescent="0.25">
      <c r="A57" s="37"/>
      <c r="B57" s="47"/>
      <c r="C57" s="44" t="s">
        <v>125</v>
      </c>
      <c r="D57" s="44">
        <f>'[2]04-2026'!G151</f>
        <v>0.79</v>
      </c>
      <c r="E57" s="44">
        <f>'[2]05-2026'!G151</f>
        <v>0.97999999999999865</v>
      </c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5.75" x14ac:dyDescent="0.25">
      <c r="A58" s="37"/>
      <c r="B58" s="47"/>
      <c r="C58" s="44" t="s">
        <v>126</v>
      </c>
      <c r="D58" s="49">
        <f>D57/D56</f>
        <v>0.71817262557221084</v>
      </c>
      <c r="E58" s="49">
        <f>E57/E56</f>
        <v>0.78398996492844786</v>
      </c>
      <c r="F58" s="49"/>
      <c r="G58" s="49"/>
      <c r="H58" s="49"/>
      <c r="I58" s="49"/>
      <c r="J58" s="49"/>
      <c r="K58" s="49"/>
      <c r="L58" s="49"/>
      <c r="M58" s="49"/>
      <c r="N58" s="49"/>
      <c r="O58" s="49"/>
    </row>
  </sheetData>
  <mergeCells count="18">
    <mergeCell ref="B41:B43"/>
    <mergeCell ref="B44:B46"/>
    <mergeCell ref="B47:B49"/>
    <mergeCell ref="B50:B52"/>
    <mergeCell ref="B53:B55"/>
    <mergeCell ref="B56:B58"/>
    <mergeCell ref="B23:B25"/>
    <mergeCell ref="B26:B28"/>
    <mergeCell ref="B29:B31"/>
    <mergeCell ref="B32:B34"/>
    <mergeCell ref="B35:B37"/>
    <mergeCell ref="B38:B40"/>
    <mergeCell ref="B5:B7"/>
    <mergeCell ref="B8:B10"/>
    <mergeCell ref="B11:B13"/>
    <mergeCell ref="B14:B16"/>
    <mergeCell ref="B17:B19"/>
    <mergeCell ref="B20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Target Sheet</vt:lpstr>
      <vt:lpstr>Construction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Verma</dc:creator>
  <cp:lastModifiedBy>Sumit Verma</cp:lastModifiedBy>
  <dcterms:created xsi:type="dcterms:W3CDTF">2026-06-29T09:43:41Z</dcterms:created>
  <dcterms:modified xsi:type="dcterms:W3CDTF">2026-06-29T10:01:29Z</dcterms:modified>
</cp:coreProperties>
</file>