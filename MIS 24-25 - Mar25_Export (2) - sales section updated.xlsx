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it Verma\Desktop\BM Dashboard\Doc\"/>
    </mc:Choice>
  </mc:AlternateContent>
  <bookViews>
    <workbookView xWindow="0" yWindow="0" windowWidth="28800" windowHeight="12210" activeTab="1"/>
  </bookViews>
  <sheets>
    <sheet name="Overview" sheetId="1" r:id="rId1"/>
    <sheet name="Sales" sheetId="2" r:id="rId2"/>
    <sheet name="Outstanding &amp; Collection" sheetId="3" r:id="rId3"/>
    <sheet name="Construction Budget" sheetId="4" r:id="rId4"/>
    <sheet name="Project Portfolio Details" sheetId="5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DM22" i="2" l="1"/>
  <c r="DL22" i="2"/>
  <c r="DK22" i="2"/>
  <c r="DJ22" i="2"/>
  <c r="DI22" i="2"/>
  <c r="DC22" i="2"/>
  <c r="DB22" i="2"/>
  <c r="DA22" i="2"/>
  <c r="CZ22" i="2"/>
  <c r="CY22" i="2"/>
  <c r="CS22" i="2"/>
  <c r="CR22" i="2"/>
  <c r="CQ22" i="2"/>
  <c r="CP22" i="2"/>
  <c r="CO22" i="2"/>
  <c r="CI22" i="2"/>
  <c r="CH22" i="2"/>
  <c r="CG22" i="2"/>
  <c r="CF22" i="2"/>
  <c r="CE22" i="2"/>
  <c r="BY22" i="2"/>
  <c r="BX22" i="2"/>
  <c r="BV22" i="2" s="1"/>
  <c r="BW22" i="2"/>
  <c r="BU22" i="2"/>
  <c r="BO22" i="2"/>
  <c r="BN22" i="2"/>
  <c r="BM22" i="2"/>
  <c r="BL22" i="2"/>
  <c r="BK22" i="2"/>
  <c r="BE22" i="2"/>
  <c r="BD22" i="2"/>
  <c r="BC22" i="2"/>
  <c r="BB22" i="2"/>
  <c r="BA22" i="2"/>
  <c r="AU22" i="2"/>
  <c r="AT22" i="2"/>
  <c r="AS22" i="2"/>
  <c r="AR22" i="2"/>
  <c r="AQ22" i="2"/>
  <c r="AK22" i="2"/>
  <c r="AJ22" i="2"/>
  <c r="AI22" i="2"/>
  <c r="AH22" i="2"/>
  <c r="AG22" i="2"/>
  <c r="AA22" i="2"/>
  <c r="Z22" i="2"/>
  <c r="Y22" i="2"/>
  <c r="X22" i="2"/>
  <c r="W22" i="2"/>
  <c r="Q22" i="2"/>
  <c r="P22" i="2"/>
  <c r="O22" i="2"/>
  <c r="N22" i="2"/>
  <c r="M22" i="2"/>
  <c r="G22" i="2"/>
  <c r="F22" i="2"/>
  <c r="D22" i="2" s="1"/>
  <c r="E22" i="2"/>
  <c r="C22" i="2"/>
  <c r="D59" i="4" l="1"/>
  <c r="C59" i="4"/>
  <c r="D58" i="4"/>
  <c r="C58" i="4"/>
  <c r="D55" i="4"/>
  <c r="D56" i="4" s="1"/>
  <c r="C55" i="4"/>
  <c r="C56" i="4" s="1"/>
  <c r="D52" i="4"/>
  <c r="D53" i="4" s="1"/>
  <c r="C52" i="4"/>
  <c r="C53" i="4" s="1"/>
  <c r="D50" i="4"/>
  <c r="C50" i="4"/>
  <c r="D49" i="4"/>
  <c r="C49" i="4"/>
  <c r="D46" i="4"/>
  <c r="D47" i="4" s="1"/>
  <c r="C46" i="4"/>
  <c r="C47" i="4" s="1"/>
  <c r="D43" i="4"/>
  <c r="D44" i="4" s="1"/>
  <c r="C43" i="4"/>
  <c r="C44" i="4" s="1"/>
  <c r="D41" i="4"/>
  <c r="C41" i="4"/>
  <c r="D40" i="4"/>
  <c r="C40" i="4"/>
  <c r="C38" i="4"/>
  <c r="D37" i="4"/>
  <c r="D38" i="4" s="1"/>
  <c r="D34" i="4"/>
  <c r="D35" i="4" s="1"/>
  <c r="C34" i="4"/>
  <c r="C35" i="4" s="1"/>
  <c r="C32" i="4"/>
  <c r="D31" i="4"/>
  <c r="D32" i="4" s="1"/>
  <c r="C31" i="4"/>
  <c r="D28" i="4"/>
  <c r="C28" i="4"/>
  <c r="D25" i="4"/>
  <c r="D26" i="4" s="1"/>
  <c r="C25" i="4"/>
  <c r="C26" i="4" s="1"/>
  <c r="D22" i="4"/>
  <c r="D23" i="4" s="1"/>
  <c r="C22" i="4"/>
  <c r="C23" i="4" s="1"/>
  <c r="D20" i="4"/>
  <c r="D19" i="4"/>
  <c r="C19" i="4"/>
  <c r="C20" i="4" s="1"/>
  <c r="D16" i="4"/>
  <c r="D17" i="4" s="1"/>
  <c r="C16" i="4"/>
  <c r="C17" i="4" s="1"/>
  <c r="D13" i="4"/>
  <c r="D14" i="4" s="1"/>
  <c r="C13" i="4"/>
  <c r="C14" i="4" s="1"/>
  <c r="D11" i="4"/>
  <c r="D10" i="4"/>
  <c r="C10" i="4"/>
  <c r="C11" i="4" s="1"/>
  <c r="D7" i="4"/>
  <c r="D8" i="4" s="1"/>
  <c r="C7" i="4"/>
  <c r="C8" i="4" s="1"/>
  <c r="N4" i="4"/>
  <c r="M4" i="4"/>
  <c r="L4" i="4"/>
  <c r="K4" i="4"/>
  <c r="J4" i="4"/>
  <c r="I4" i="4"/>
  <c r="H4" i="4"/>
  <c r="G4" i="4"/>
  <c r="F4" i="4"/>
  <c r="E4" i="4"/>
  <c r="N3" i="4"/>
  <c r="M3" i="4"/>
  <c r="L3" i="4"/>
  <c r="K3" i="4"/>
  <c r="J3" i="4"/>
  <c r="I3" i="4"/>
  <c r="H3" i="4"/>
  <c r="G3" i="4"/>
  <c r="F3" i="4"/>
  <c r="E3" i="4"/>
  <c r="D3" i="4"/>
  <c r="C3" i="4"/>
  <c r="C4" i="4" l="1"/>
  <c r="C5" i="4" s="1"/>
  <c r="D4" i="4"/>
  <c r="D5" i="4" s="1"/>
</calcChain>
</file>

<file path=xl/sharedStrings.xml><?xml version="1.0" encoding="utf-8"?>
<sst xmlns="http://schemas.openxmlformats.org/spreadsheetml/2006/main" count="670" uniqueCount="241">
  <si>
    <t>Dashboard Section</t>
  </si>
  <si>
    <t>Key KPI Metric</t>
  </si>
  <si>
    <t>Target/Budget</t>
  </si>
  <si>
    <t>Actual/Achieved</t>
  </si>
  <si>
    <t>Efficiency %</t>
  </si>
  <si>
    <t>Sales &amp; Collection</t>
  </si>
  <si>
    <t>Units Sold</t>
  </si>
  <si>
    <t>72.2%</t>
  </si>
  <si>
    <t>Average Rate</t>
  </si>
  <si>
    <t>₹9,940/sf</t>
  </si>
  <si>
    <t>₹10,197/sf</t>
  </si>
  <si>
    <t>102.6%</t>
  </si>
  <si>
    <t>Saleable Area</t>
  </si>
  <si>
    <t>53,46,600 sf</t>
  </si>
  <si>
    <t>36,73,600 sf</t>
  </si>
  <si>
    <t>68.7%</t>
  </si>
  <si>
    <t>Total Collection</t>
  </si>
  <si>
    <t>₹3985.82 Cr</t>
  </si>
  <si>
    <t>₹2547.16 Cr</t>
  </si>
  <si>
    <t>63.9%</t>
  </si>
  <si>
    <t>Outstanding</t>
  </si>
  <si>
    <t>Total Outstanding</t>
  </si>
  <si>
    <t>-</t>
  </si>
  <si>
    <t>₹636.78 Cr</t>
  </si>
  <si>
    <t>Critical</t>
  </si>
  <si>
    <t>On Target</t>
  </si>
  <si>
    <t>Registered O/S</t>
  </si>
  <si>
    <t>₹413.90 Cr</t>
  </si>
  <si>
    <t>Progressing</t>
  </si>
  <si>
    <t>Ageing &gt;120 Days</t>
  </si>
  <si>
    <t>₹63.69 Cr</t>
  </si>
  <si>
    <t>Construction Budget</t>
  </si>
  <si>
    <t>Target Planned</t>
  </si>
  <si>
    <t>₹2922.91 Cr</t>
  </si>
  <si>
    <t>Achieved Value</t>
  </si>
  <si>
    <t>₹1872.90 Cr</t>
  </si>
  <si>
    <t>Variance</t>
  </si>
  <si>
    <t>₹-1050.00 Cr</t>
  </si>
  <si>
    <t>Efficiency</t>
  </si>
  <si>
    <t>64.1%</t>
  </si>
  <si>
    <t>Project Portfolio</t>
  </si>
  <si>
    <t>Active Projects</t>
  </si>
  <si>
    <t>Project Name</t>
  </si>
  <si>
    <t>NYATI DEFENCE ENCLAVE I</t>
  </si>
  <si>
    <t>NYATI DEFENCE ENCLAVE II</t>
  </si>
  <si>
    <t>NYATI DEFENCE ENCLAVE III</t>
  </si>
  <si>
    <t>NYATI ELAN COMMERCIAL</t>
  </si>
  <si>
    <t>NYATI ELITE</t>
  </si>
  <si>
    <t>NYATI EMBLEM</t>
  </si>
  <si>
    <t>NYATI EMERALD I</t>
  </si>
  <si>
    <t>NYATI EMERALD II</t>
  </si>
  <si>
    <t>NYATI EMERALD III</t>
  </si>
  <si>
    <t>NYATI EMPRESS</t>
  </si>
  <si>
    <t>NYATI ENTHRAL I</t>
  </si>
  <si>
    <t>NYATI EQUINOX I</t>
  </si>
  <si>
    <t>NYATI EQUINOX II</t>
  </si>
  <si>
    <t>NYATI ERA I</t>
  </si>
  <si>
    <t>NYATI ERA II</t>
  </si>
  <si>
    <t>NYATI ERA III</t>
  </si>
  <si>
    <t>NYATI ESTEBAN II</t>
  </si>
  <si>
    <t>NYATI EVOQUE</t>
  </si>
  <si>
    <t>NYATI EXUBERANCE I</t>
  </si>
  <si>
    <t>NYATI EXUBERANCE II</t>
  </si>
  <si>
    <t>NYATI EXUBERANCE III</t>
  </si>
  <si>
    <t>NYATI EXUBERANCE IV</t>
  </si>
  <si>
    <t>NYATI PLAZA</t>
  </si>
  <si>
    <t>NYATI VICTORIA</t>
  </si>
  <si>
    <t>Total Outstanding (₹ Cr)</t>
  </si>
  <si>
    <t>Total Collection (₹ Cr)</t>
  </si>
  <si>
    <t>Registered Outstanding (₹ Cr)</t>
  </si>
  <si>
    <t>Unregistered Outstanding (₹ Cr)</t>
  </si>
  <si>
    <t>0-30 Days (₹ Cr)</t>
  </si>
  <si>
    <t>31-60 Days (₹ Cr)</t>
  </si>
  <si>
    <t>61-90 Days (₹ Cr)</t>
  </si>
  <si>
    <t>91-120 Days (₹ Cr)</t>
  </si>
  <si>
    <t>&gt;120 Days (₹ Cr)</t>
  </si>
  <si>
    <t>Building Name</t>
  </si>
  <si>
    <t>Total Units</t>
  </si>
  <si>
    <t>Units Sold up to Mar 31 2024</t>
  </si>
  <si>
    <t>Unsold as on Apr 1 2024</t>
  </si>
  <si>
    <t>For the month Sold</t>
  </si>
  <si>
    <t>For the Period Sold</t>
  </si>
  <si>
    <t>Total Units Sold as on Date</t>
  </si>
  <si>
    <t>Balance as on Date</t>
  </si>
  <si>
    <t>Budget Rate</t>
  </si>
  <si>
    <t>Actual Rate</t>
  </si>
  <si>
    <t>Budget Area</t>
  </si>
  <si>
    <t>Actual Area</t>
  </si>
  <si>
    <t>SUKHOI ( PMC NO. C)</t>
  </si>
  <si>
    <t>VIKRANT ( PMC NO. D)</t>
  </si>
  <si>
    <t>BTOTAL</t>
  </si>
  <si>
    <t>BEAS ( PMC NO. F)</t>
  </si>
  <si>
    <t>CHETAK ( PMC NO. E)</t>
  </si>
  <si>
    <t>ARJUN ( PMC NO. A)</t>
  </si>
  <si>
    <t>BHISHMA ( PMC NO. B)</t>
  </si>
  <si>
    <t>COMMERCIAL</t>
  </si>
  <si>
    <t>FIRST FLOOR OFFICE</t>
  </si>
  <si>
    <t>GROUND LEVEL  OFFICE</t>
  </si>
  <si>
    <t>AMBROSIA - (PMC NO. A)</t>
  </si>
  <si>
    <t>BLAZE - (PMC NO. B)</t>
  </si>
  <si>
    <t>CHARISMA  - (PMC NO. C)</t>
  </si>
  <si>
    <t>DELUXE  - (PMC NO. D)</t>
  </si>
  <si>
    <t>EDIFICE - (PMC NO. E)</t>
  </si>
  <si>
    <t>FELICITY - (PMC NO. F)</t>
  </si>
  <si>
    <t>GLORY - (PMC NO. G)</t>
  </si>
  <si>
    <t>F BUILDING</t>
  </si>
  <si>
    <t>AQUAMARINE - (PMC - A1)</t>
  </si>
  <si>
    <t>BERYL - (PMC - B1)</t>
  </si>
  <si>
    <t>EMERALD SHOP</t>
  </si>
  <si>
    <t>JADE - (PMC - A3)</t>
  </si>
  <si>
    <t>ONYX - (PMC - B2)</t>
  </si>
  <si>
    <t>PEARL - (PMC - B3)</t>
  </si>
  <si>
    <t>SAPPHIRE - (PMC - A2)</t>
  </si>
  <si>
    <t>WING - H - COMM</t>
  </si>
  <si>
    <t>F BUILDINGS</t>
  </si>
  <si>
    <t>G WING</t>
  </si>
  <si>
    <t>OPAL - (PMC NO - C1)</t>
  </si>
  <si>
    <t>RUBY - (PMC NO - C2)</t>
  </si>
  <si>
    <t>A WING</t>
  </si>
  <si>
    <t>B WING</t>
  </si>
  <si>
    <t>OFFICE</t>
  </si>
  <si>
    <t>EROS - (PMC NO. 2C)</t>
  </si>
  <si>
    <t>GALAXY - (PMC NO. 2B)</t>
  </si>
  <si>
    <t>HERMES - (PMC NO.2E)</t>
  </si>
  <si>
    <t>ORION - (PMC NO.1C)</t>
  </si>
  <si>
    <t>PEGASUS - (PMC NO.1D)</t>
  </si>
  <si>
    <t>PHOENIX - (PMC NO. 2A)</t>
  </si>
  <si>
    <t>PODIUM - 1</t>
  </si>
  <si>
    <t>PODIUM - 2</t>
  </si>
  <si>
    <t>PODIUM - 3</t>
  </si>
  <si>
    <t>REGAL - (PMC NO. 1A)</t>
  </si>
  <si>
    <t>SIRIUS - (PMC NO.2F)</t>
  </si>
  <si>
    <t>VEGA - (PMC NO. 1B)</t>
  </si>
  <si>
    <t>VESTA - (PMC NO. 2D)</t>
  </si>
  <si>
    <t>CERES - (PMC NO A)</t>
  </si>
  <si>
    <t>MIRA (PMC - B)</t>
  </si>
  <si>
    <t>SHOP - A WING</t>
  </si>
  <si>
    <t>AURA - (PMC NO. WING A)</t>
  </si>
  <si>
    <t>BLISS - (PMC NO. WING B)</t>
  </si>
  <si>
    <t>CELINE - (PMC NO. WING C)</t>
  </si>
  <si>
    <t>GRACE - (PMC NO. WING G)</t>
  </si>
  <si>
    <t>HARMONY - (PMC NO. WING H)</t>
  </si>
  <si>
    <t>INFINITY - (PMC NO. WING I)</t>
  </si>
  <si>
    <t>RHYTHM - (PMC NO. WING R)</t>
  </si>
  <si>
    <t>T - WING - FIRST FLOOR</t>
  </si>
  <si>
    <t>T - WING - FLAT</t>
  </si>
  <si>
    <t>T - WING - GROUND FLOOR</t>
  </si>
  <si>
    <t>DIVINE - (PMC NO. WING D)</t>
  </si>
  <si>
    <t>ETERNAL - (PMC NO. WING E)</t>
  </si>
  <si>
    <t>FAITH - (PMC NO. WING F)</t>
  </si>
  <si>
    <t>PRIDE - (PMC NO. WING P)</t>
  </si>
  <si>
    <t>QARA - (PMC NO. WING Q)</t>
  </si>
  <si>
    <t>ALEXANDRITE (PMC - D5)</t>
  </si>
  <si>
    <t>DIAMOND (PMC - D3)</t>
  </si>
  <si>
    <t>GARNET (PMC - D2)</t>
  </si>
  <si>
    <t>PEARL (PMC - D1)</t>
  </si>
  <si>
    <t>TANZANITE (PMC - D4)</t>
  </si>
  <si>
    <t>COMMERCIAL A - 1</t>
  </si>
  <si>
    <t>LAVENDER - (PMC NO. A1)</t>
  </si>
  <si>
    <t>BLOSSOM (PMC NO. C2)</t>
  </si>
  <si>
    <t>HEATHER (PMC NO. C1)</t>
  </si>
  <si>
    <t>BLUEBELL (PMC NO. D)</t>
  </si>
  <si>
    <t>BLUEBELL (SHOP)</t>
  </si>
  <si>
    <t>CAMELLIA (PMC NO. C5)</t>
  </si>
  <si>
    <t>PERIWINKLE ( PMC NO. C3)</t>
  </si>
  <si>
    <t>PRIMROSE  (PMC NO. C4)</t>
  </si>
  <si>
    <t>BLOCK A</t>
  </si>
  <si>
    <t>BLOCK B</t>
  </si>
  <si>
    <t>BLOCK C</t>
  </si>
  <si>
    <t>FOOD COURT 202</t>
  </si>
  <si>
    <t>RESTAURANT BLOCK</t>
  </si>
  <si>
    <t>PLOT</t>
  </si>
  <si>
    <t>REAL ESTATE BUDGET REVIEW
FY 2026-2027</t>
  </si>
  <si>
    <t>Projects</t>
  </si>
  <si>
    <t>Planned</t>
  </si>
  <si>
    <t>Actual</t>
  </si>
  <si>
    <t>Effi. %</t>
  </si>
  <si>
    <t>Nyati Emerald - I</t>
  </si>
  <si>
    <t>Nyati Emerald - II</t>
  </si>
  <si>
    <t>Nyati Emerald - III</t>
  </si>
  <si>
    <t>Nyati Equinox - I</t>
  </si>
  <si>
    <t>Nyati Equinox - II</t>
  </si>
  <si>
    <t>Nyati Era - III</t>
  </si>
  <si>
    <t>Nyati Era - IV</t>
  </si>
  <si>
    <t>Nyati Exuberance-I</t>
  </si>
  <si>
    <t>Nyati Exuberance-IV</t>
  </si>
  <si>
    <t>Nyati Esteban - II</t>
  </si>
  <si>
    <t>Nyati Esteban - III</t>
  </si>
  <si>
    <t>Nyati Evoque</t>
  </si>
  <si>
    <t>Nyati Evania</t>
  </si>
  <si>
    <t>Nyati Elenor</t>
  </si>
  <si>
    <t>Nyati Emblem</t>
  </si>
  <si>
    <t>Nyati Ethos</t>
  </si>
  <si>
    <t>Nyati Quantum Towers</t>
  </si>
  <si>
    <t>Nyati Unitree Extension</t>
  </si>
  <si>
    <t>In Process</t>
  </si>
  <si>
    <t>Nearing Completion</t>
  </si>
  <si>
    <t>Newly Started</t>
  </si>
  <si>
    <t xml:space="preserve">Sr. No. </t>
  </si>
  <si>
    <t xml:space="preserve">Projects </t>
  </si>
  <si>
    <t>May'26</t>
  </si>
  <si>
    <t>June'26</t>
  </si>
  <si>
    <t>July'26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</si>
  <si>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</si>
  <si>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</si>
  <si>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</si>
  <si>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</si>
  <si>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</si>
  <si>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</si>
  <si>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</si>
  <si>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</si>
  <si>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Units Target</t>
  </si>
  <si>
    <t>Rate Target</t>
  </si>
  <si>
    <t>Area Target</t>
  </si>
  <si>
    <t>Sales Value Target</t>
  </si>
  <si>
    <t>Collection Target</t>
  </si>
  <si>
    <t>Units Actual</t>
  </si>
  <si>
    <t>Rate Actual</t>
  </si>
  <si>
    <t>Area Actual</t>
  </si>
  <si>
    <t>Sales Value Actual</t>
  </si>
  <si>
    <t>Collection Actual</t>
  </si>
  <si>
    <t>Emerald I</t>
  </si>
  <si>
    <t>Emerald II</t>
  </si>
  <si>
    <t>Emerald III</t>
  </si>
  <si>
    <t>Equinox I</t>
  </si>
  <si>
    <t>Equinox II</t>
  </si>
  <si>
    <t>Era II</t>
  </si>
  <si>
    <t>Era III</t>
  </si>
  <si>
    <t>Era IV</t>
  </si>
  <si>
    <t>Nyati Exuberance IV</t>
  </si>
  <si>
    <t xml:space="preserve">Nyati Esteban II </t>
  </si>
  <si>
    <t xml:space="preserve">Nyati Enthral &amp; Nyati Plaza </t>
  </si>
  <si>
    <t xml:space="preserve">Nyati Empress </t>
  </si>
  <si>
    <t xml:space="preserve">Nyati Evoque </t>
  </si>
  <si>
    <t xml:space="preserve">Nyati Evania </t>
  </si>
  <si>
    <t xml:space="preserve"> Nyati Elenor </t>
  </si>
  <si>
    <t xml:space="preserve">Nyati Emblem </t>
  </si>
  <si>
    <t>Elan Commercial</t>
  </si>
  <si>
    <t>Defence III</t>
  </si>
  <si>
    <t>Old Projects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</si>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</sst>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17" fontId="3" fillId="0" borderId="6" xfId="0" applyNumberFormat="1" applyFont="1" applyFill="1" applyBorder="1" applyAlignment="1">
      <alignment horizontal="center" wrapText="1"/>
    </xf>
    <xf numFmtId="17" fontId="3" fillId="0" borderId="7" xfId="0" applyNumberFormat="1" applyFont="1" applyFill="1" applyBorder="1" applyAlignment="1">
      <alignment horizontal="center" wrapText="1"/>
    </xf>
    <xf numFmtId="17" fontId="3" fillId="0" borderId="8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shrinkToFit="1"/>
    </xf>
    <xf numFmtId="9" fontId="3" fillId="0" borderId="1" xfId="2" applyFont="1" applyFill="1" applyBorder="1" applyAlignment="1">
      <alignment horizontal="center"/>
    </xf>
    <xf numFmtId="9" fontId="3" fillId="0" borderId="1" xfId="2" applyFont="1" applyFill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" fontId="4" fillId="3" borderId="3" xfId="1" applyNumberFormat="1" applyFont="1" applyFill="1" applyBorder="1" applyAlignment="1">
      <alignment horizontal="center" vertical="center" wrapText="1"/>
    </xf>
    <xf numFmtId="0" fontId="4" fillId="3" borderId="3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3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" fontId="5" fillId="4" borderId="1" xfId="3" applyNumberFormat="1" applyFont="1" applyFill="1" applyBorder="1" applyAlignment="1">
      <alignment horizontal="center" vertical="center"/>
    </xf>
    <xf numFmtId="0" fontId="5" fillId="4" borderId="1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10 2 2 7" xfId="3"/>
    <cellStyle name="Comma 13 6" xfId="4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_DEC25\RE%20Review\RE_Review_2026-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 2026-2027"/>
      <sheetName val="05-2026"/>
      <sheetName val="04-2026"/>
      <sheetName val="Table 2"/>
      <sheetName val="Table 2 (2)"/>
    </sheetNames>
    <sheetDataSet>
      <sheetData sheetId="0" refreshError="1"/>
      <sheetData sheetId="1" refreshError="1">
        <row r="8">
          <cell r="G8">
            <v>4.0911773410963006</v>
          </cell>
        </row>
        <row r="16">
          <cell r="G16">
            <v>0.627314965966</v>
          </cell>
        </row>
        <row r="26">
          <cell r="G26">
            <v>1.9303090181922997</v>
          </cell>
        </row>
        <row r="37">
          <cell r="G37">
            <v>7.2783815645559002</v>
          </cell>
        </row>
        <row r="46">
          <cell r="G46">
            <v>1.1757652247614001</v>
          </cell>
        </row>
        <row r="57">
          <cell r="G57">
            <v>2.5144411707120002</v>
          </cell>
        </row>
        <row r="61">
          <cell r="G61">
            <v>0.37999999999999901</v>
          </cell>
        </row>
        <row r="80">
          <cell r="G80">
            <v>6.588943605E-2</v>
          </cell>
        </row>
        <row r="91">
          <cell r="G91">
            <v>1.3814687090919</v>
          </cell>
        </row>
        <row r="100">
          <cell r="G100">
            <v>3.4447375516171999</v>
          </cell>
        </row>
        <row r="103">
          <cell r="G103">
            <v>8.9700000000000002E-2</v>
          </cell>
        </row>
        <row r="116">
          <cell r="G116">
            <v>2.1503789088504002</v>
          </cell>
        </row>
        <row r="120">
          <cell r="G120">
            <v>1.1799999999999997</v>
          </cell>
        </row>
        <row r="124">
          <cell r="G124">
            <v>1.3300000000000018</v>
          </cell>
        </row>
        <row r="134">
          <cell r="G134">
            <v>1.3454924141262001</v>
          </cell>
        </row>
        <row r="142">
          <cell r="G142">
            <v>7.9600975667200008E-2</v>
          </cell>
        </row>
        <row r="146">
          <cell r="G146">
            <v>1.5712999999999997</v>
          </cell>
        </row>
        <row r="151">
          <cell r="G151">
            <v>0.97999999999999865</v>
          </cell>
        </row>
      </sheetData>
      <sheetData sheetId="2" refreshError="1">
        <row r="8">
          <cell r="G8">
            <v>2.8323535439996999</v>
          </cell>
        </row>
        <row r="16">
          <cell r="G16">
            <v>0.24127498695500005</v>
          </cell>
        </row>
        <row r="26">
          <cell r="G26">
            <v>2.4366195803718997</v>
          </cell>
        </row>
        <row r="37">
          <cell r="G37">
            <v>3.7146926673882001</v>
          </cell>
        </row>
        <row r="46">
          <cell r="G46">
            <v>0.67186584465880006</v>
          </cell>
        </row>
        <row r="57">
          <cell r="G57">
            <v>3.0152850062995</v>
          </cell>
        </row>
        <row r="61">
          <cell r="G61">
            <v>0.94510000000000005</v>
          </cell>
        </row>
        <row r="80">
          <cell r="G80">
            <v>0.2635577442</v>
          </cell>
        </row>
        <row r="91">
          <cell r="G91">
            <v>1.6909780913312003</v>
          </cell>
        </row>
        <row r="100">
          <cell r="G100">
            <v>3.7366644630400003</v>
          </cell>
        </row>
        <row r="116">
          <cell r="G116">
            <v>1.1355933580323998</v>
          </cell>
        </row>
        <row r="120">
          <cell r="G120">
            <v>2</v>
          </cell>
        </row>
        <row r="124">
          <cell r="G124">
            <v>1.2799999999999976</v>
          </cell>
        </row>
        <row r="134">
          <cell r="G134">
            <v>1.3259925238488002</v>
          </cell>
        </row>
        <row r="142">
          <cell r="G142">
            <v>0.30768838697489997</v>
          </cell>
        </row>
        <row r="146">
          <cell r="G146">
            <v>2.6800000000000006</v>
          </cell>
        </row>
        <row r="151">
          <cell r="G151">
            <v>0.79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7" sqref="D17"/>
    </sheetView>
  </sheetViews>
  <sheetFormatPr defaultRowHeight="15.75" x14ac:dyDescent="0.25"/>
  <cols>
    <col min="1" max="1" width="20.75" customWidth="1"/>
    <col min="2" max="2" width="20.375" customWidth="1"/>
    <col min="3" max="3" width="16.125" customWidth="1"/>
    <col min="4" max="4" width="20" customWidth="1"/>
    <col min="5" max="5" width="18.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3" t="s">
        <v>6</v>
      </c>
      <c r="C2" s="3">
        <v>4568</v>
      </c>
      <c r="D2" s="4">
        <v>3300</v>
      </c>
      <c r="E2" s="3" t="s">
        <v>7</v>
      </c>
    </row>
    <row r="3" spans="1:5" x14ac:dyDescent="0.25">
      <c r="A3" s="4" t="s">
        <v>5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x14ac:dyDescent="0.25">
      <c r="A4" s="4" t="s">
        <v>5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x14ac:dyDescent="0.25">
      <c r="A5" s="4" t="s">
        <v>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x14ac:dyDescent="0.25">
      <c r="A6" s="4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x14ac:dyDescent="0.25">
      <c r="A7" s="4" t="s">
        <v>20</v>
      </c>
      <c r="B7" s="3" t="s">
        <v>16</v>
      </c>
      <c r="C7" s="3" t="s">
        <v>22</v>
      </c>
      <c r="D7" s="3" t="s">
        <v>18</v>
      </c>
      <c r="E7" s="3" t="s">
        <v>25</v>
      </c>
    </row>
    <row r="8" spans="1:5" x14ac:dyDescent="0.25">
      <c r="A8" s="4" t="s">
        <v>20</v>
      </c>
      <c r="B8" s="3" t="s">
        <v>26</v>
      </c>
      <c r="C8" s="3" t="s">
        <v>22</v>
      </c>
      <c r="D8" s="3" t="s">
        <v>27</v>
      </c>
      <c r="E8" s="3" t="s">
        <v>28</v>
      </c>
    </row>
    <row r="9" spans="1:5" x14ac:dyDescent="0.25">
      <c r="A9" s="4" t="s">
        <v>20</v>
      </c>
      <c r="B9" s="3" t="s">
        <v>29</v>
      </c>
      <c r="C9" s="3" t="s">
        <v>22</v>
      </c>
      <c r="D9" s="3" t="s">
        <v>30</v>
      </c>
      <c r="E9" s="3" t="s">
        <v>24</v>
      </c>
    </row>
    <row r="10" spans="1:5" x14ac:dyDescent="0.25">
      <c r="A10" s="4" t="s">
        <v>31</v>
      </c>
      <c r="B10" s="3" t="s">
        <v>32</v>
      </c>
      <c r="C10" s="3" t="s">
        <v>22</v>
      </c>
      <c r="D10" s="3" t="s">
        <v>33</v>
      </c>
      <c r="E10" s="3" t="s">
        <v>25</v>
      </c>
    </row>
    <row r="11" spans="1:5" x14ac:dyDescent="0.25">
      <c r="A11" s="4" t="s">
        <v>31</v>
      </c>
      <c r="B11" s="3" t="s">
        <v>34</v>
      </c>
      <c r="C11" s="3" t="s">
        <v>22</v>
      </c>
      <c r="D11" s="3" t="s">
        <v>35</v>
      </c>
      <c r="E11" s="3" t="s">
        <v>28</v>
      </c>
    </row>
    <row r="12" spans="1:5" x14ac:dyDescent="0.25">
      <c r="A12" s="4" t="s">
        <v>31</v>
      </c>
      <c r="B12" s="3" t="s">
        <v>36</v>
      </c>
      <c r="C12" s="3" t="s">
        <v>22</v>
      </c>
      <c r="D12" s="3" t="s">
        <v>37</v>
      </c>
      <c r="E12" s="3" t="s">
        <v>25</v>
      </c>
    </row>
    <row r="13" spans="1:5" x14ac:dyDescent="0.25">
      <c r="A13" s="4" t="s">
        <v>31</v>
      </c>
      <c r="B13" s="3" t="s">
        <v>38</v>
      </c>
      <c r="C13" s="3" t="s">
        <v>22</v>
      </c>
      <c r="D13" s="3" t="s">
        <v>39</v>
      </c>
      <c r="E13" s="3" t="s">
        <v>24</v>
      </c>
    </row>
    <row r="14" spans="1:5" x14ac:dyDescent="0.25">
      <c r="A14" s="4" t="s">
        <v>40</v>
      </c>
      <c r="B14" s="3" t="s">
        <v>41</v>
      </c>
      <c r="C14" s="3" t="s">
        <v>22</v>
      </c>
      <c r="D14" s="3">
        <v>24</v>
      </c>
      <c r="E14" s="3" t="s">
        <v>25</v>
      </c>
    </row>
    <row r="15" spans="1:5" x14ac:dyDescent="0.25">
      <c r="A15" s="4" t="s">
        <v>40</v>
      </c>
      <c r="B15" s="3" t="s">
        <v>195</v>
      </c>
      <c r="C15" s="3" t="s">
        <v>22</v>
      </c>
      <c r="D15" s="3">
        <v>10</v>
      </c>
      <c r="E15" s="3"/>
    </row>
    <row r="16" spans="1:5" x14ac:dyDescent="0.25">
      <c r="A16" s="4" t="s">
        <v>40</v>
      </c>
      <c r="B16" s="3" t="s">
        <v>196</v>
      </c>
      <c r="C16" s="3" t="s">
        <v>22</v>
      </c>
      <c r="D16" s="3">
        <v>3</v>
      </c>
      <c r="E16" s="3"/>
    </row>
    <row r="17" spans="1:5" x14ac:dyDescent="0.25">
      <c r="A17" s="4" t="s">
        <v>40</v>
      </c>
      <c r="B17" s="3" t="s">
        <v>197</v>
      </c>
      <c r="C17" s="3" t="s">
        <v>22</v>
      </c>
      <c r="D17" s="3">
        <v>5</v>
      </c>
      <c r="E17" s="3"/>
    </row>
    <row r="18" spans="1:5" x14ac:dyDescent="0.25">
      <c r="A18" s="2"/>
      <c r="B18" s="2"/>
      <c r="C18" s="2"/>
      <c r="D18" s="2"/>
      <c r="E18" s="2"/>
    </row>
    <row r="19" spans="1:5" x14ac:dyDescent="0.25">
      <c r="A19" s="1"/>
      <c r="B19" s="1"/>
      <c r="C19" s="1"/>
      <c r="D19" s="1"/>
      <c r="E19" s="1"/>
    </row>
  </sheetData>
  <pageMargins left="0.7" right="0.7" top="0.75" bottom="0.75" header="0.3" footer="0.3"/>
  <ignoredErrors>
    <ignoredError sqref="A1:E1 A3:E14 A2:C2 E2 A17 A15 C15 A16 C16 C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2"/>
  <sheetViews>
    <sheetView tabSelected="1" zoomScale="66" zoomScaleNormal="66" workbookViewId="0">
      <selection activeCell="Q26" sqref="Q26"/>
    </sheetView>
  </sheetViews>
  <sheetFormatPr defaultRowHeight="15.75" x14ac:dyDescent="0.25"/>
  <cols>
    <col min="2" max="2" width="33.875" bestFit="1" customWidth="1"/>
    <col min="3" max="4" width="10.125" bestFit="1" customWidth="1"/>
    <col min="5" max="5" width="12.875" bestFit="1" customWidth="1"/>
    <col min="6" max="6" width="19.5" bestFit="1" customWidth="1"/>
    <col min="7" max="7" width="18.5" bestFit="1" customWidth="1"/>
    <col min="8" max="8" width="16" bestFit="1" customWidth="1"/>
    <col min="9" max="9" width="14.875" bestFit="1" customWidth="1"/>
    <col min="10" max="10" width="15.25" bestFit="1" customWidth="1"/>
    <col min="11" max="11" width="24" bestFit="1" customWidth="1"/>
    <col min="12" max="12" width="21.75" bestFit="1" customWidth="1"/>
    <col min="13" max="13" width="16.25" bestFit="1" customWidth="1"/>
    <col min="14" max="14" width="15.25" bestFit="1" customWidth="1"/>
    <col min="15" max="15" width="15.5" bestFit="1" customWidth="1"/>
    <col min="16" max="16" width="24.125" bestFit="1" customWidth="1"/>
    <col min="17" max="17" width="21.875" bestFit="1" customWidth="1"/>
    <col min="18" max="18" width="16" bestFit="1" customWidth="1"/>
    <col min="19" max="19" width="14.875" bestFit="1" customWidth="1"/>
    <col min="20" max="20" width="15.25" bestFit="1" customWidth="1"/>
    <col min="21" max="21" width="24" bestFit="1" customWidth="1"/>
    <col min="22" max="22" width="21.75" bestFit="1" customWidth="1"/>
    <col min="23" max="23" width="16.25" bestFit="1" customWidth="1"/>
    <col min="24" max="24" width="15.25" bestFit="1" customWidth="1"/>
    <col min="25" max="25" width="15.5" bestFit="1" customWidth="1"/>
    <col min="26" max="26" width="24.125" bestFit="1" customWidth="1"/>
    <col min="27" max="27" width="21.875" bestFit="1" customWidth="1"/>
    <col min="28" max="28" width="16" bestFit="1" customWidth="1"/>
    <col min="29" max="29" width="14.875" bestFit="1" customWidth="1"/>
    <col min="30" max="30" width="15.25" bestFit="1" customWidth="1"/>
    <col min="31" max="31" width="24" bestFit="1" customWidth="1"/>
    <col min="32" max="32" width="21.75" bestFit="1" customWidth="1"/>
    <col min="33" max="33" width="16.25" bestFit="1" customWidth="1"/>
    <col min="34" max="34" width="15.25" bestFit="1" customWidth="1"/>
    <col min="35" max="35" width="15.5" bestFit="1" customWidth="1"/>
    <col min="36" max="36" width="24.125" bestFit="1" customWidth="1"/>
    <col min="37" max="37" width="21.875" bestFit="1" customWidth="1"/>
    <col min="38" max="38" width="16" bestFit="1" customWidth="1"/>
    <col min="39" max="39" width="14.875" bestFit="1" customWidth="1"/>
    <col min="40" max="40" width="15.25" bestFit="1" customWidth="1"/>
    <col min="41" max="41" width="24" bestFit="1" customWidth="1"/>
    <col min="42" max="42" width="21.75" bestFit="1" customWidth="1"/>
    <col min="43" max="43" width="16.25" bestFit="1" customWidth="1"/>
    <col min="44" max="44" width="15.25" bestFit="1" customWidth="1"/>
    <col min="45" max="45" width="15.5" bestFit="1" customWidth="1"/>
    <col min="46" max="46" width="24.125" bestFit="1" customWidth="1"/>
    <col min="47" max="47" width="21.875" bestFit="1" customWidth="1"/>
    <col min="48" max="48" width="16" bestFit="1" customWidth="1"/>
    <col min="49" max="49" width="14.875" bestFit="1" customWidth="1"/>
    <col min="50" max="50" width="15.25" bestFit="1" customWidth="1"/>
    <col min="51" max="51" width="24" bestFit="1" customWidth="1"/>
    <col min="52" max="52" width="21.75" bestFit="1" customWidth="1"/>
    <col min="53" max="53" width="16.25" bestFit="1" customWidth="1"/>
    <col min="54" max="54" width="15.25" bestFit="1" customWidth="1"/>
    <col min="55" max="55" width="15.5" bestFit="1" customWidth="1"/>
    <col min="56" max="56" width="24.125" bestFit="1" customWidth="1"/>
    <col min="57" max="57" width="21.875" bestFit="1" customWidth="1"/>
    <col min="58" max="58" width="16" bestFit="1" customWidth="1"/>
    <col min="59" max="59" width="14.875" bestFit="1" customWidth="1"/>
    <col min="60" max="60" width="15.25" bestFit="1" customWidth="1"/>
    <col min="61" max="61" width="24" bestFit="1" customWidth="1"/>
    <col min="62" max="62" width="21.75" bestFit="1" customWidth="1"/>
    <col min="63" max="63" width="16.25" bestFit="1" customWidth="1"/>
    <col min="64" max="64" width="16.375" bestFit="1" customWidth="1"/>
    <col min="65" max="65" width="15.5" bestFit="1" customWidth="1"/>
    <col min="66" max="66" width="24.125" bestFit="1" customWidth="1"/>
    <col min="67" max="67" width="21.875" bestFit="1" customWidth="1"/>
    <col min="68" max="68" width="16" bestFit="1" customWidth="1"/>
    <col min="69" max="69" width="14.875" bestFit="1" customWidth="1"/>
    <col min="70" max="70" width="15.25" bestFit="1" customWidth="1"/>
    <col min="71" max="71" width="24" bestFit="1" customWidth="1"/>
    <col min="72" max="72" width="21.75" bestFit="1" customWidth="1"/>
    <col min="73" max="73" width="16.25" bestFit="1" customWidth="1"/>
    <col min="74" max="74" width="16.375" bestFit="1" customWidth="1"/>
    <col min="75" max="75" width="15.5" bestFit="1" customWidth="1"/>
    <col min="76" max="76" width="24.125" bestFit="1" customWidth="1"/>
    <col min="77" max="77" width="21.875" bestFit="1" customWidth="1"/>
    <col min="78" max="78" width="16" bestFit="1" customWidth="1"/>
    <col min="79" max="79" width="14.875" bestFit="1" customWidth="1"/>
    <col min="80" max="80" width="15.25" bestFit="1" customWidth="1"/>
    <col min="81" max="81" width="24" bestFit="1" customWidth="1"/>
    <col min="82" max="82" width="21.75" bestFit="1" customWidth="1"/>
    <col min="83" max="83" width="16.25" bestFit="1" customWidth="1"/>
    <col min="84" max="84" width="16.375" bestFit="1" customWidth="1"/>
    <col min="85" max="85" width="15.5" bestFit="1" customWidth="1"/>
    <col min="86" max="86" width="24.125" bestFit="1" customWidth="1"/>
    <col min="87" max="87" width="21.875" bestFit="1" customWidth="1"/>
    <col min="88" max="88" width="16" bestFit="1" customWidth="1"/>
    <col min="89" max="89" width="14.875" bestFit="1" customWidth="1"/>
    <col min="90" max="90" width="15.25" bestFit="1" customWidth="1"/>
    <col min="91" max="91" width="24" bestFit="1" customWidth="1"/>
    <col min="92" max="92" width="21.75" bestFit="1" customWidth="1"/>
    <col min="93" max="93" width="16.25" bestFit="1" customWidth="1"/>
    <col min="94" max="94" width="16.375" bestFit="1" customWidth="1"/>
    <col min="95" max="95" width="15.5" bestFit="1" customWidth="1"/>
    <col min="96" max="96" width="24.125" bestFit="1" customWidth="1"/>
    <col min="97" max="97" width="21.875" bestFit="1" customWidth="1"/>
    <col min="98" max="98" width="16" bestFit="1" customWidth="1"/>
    <col min="99" max="99" width="14.875" bestFit="1" customWidth="1"/>
    <col min="100" max="100" width="15.25" bestFit="1" customWidth="1"/>
    <col min="101" max="101" width="24" bestFit="1" customWidth="1"/>
    <col min="102" max="102" width="21.75" bestFit="1" customWidth="1"/>
    <col min="103" max="103" width="16.25" bestFit="1" customWidth="1"/>
    <col min="104" max="104" width="16.375" bestFit="1" customWidth="1"/>
    <col min="105" max="105" width="15.5" bestFit="1" customWidth="1"/>
    <col min="106" max="106" width="24.125" bestFit="1" customWidth="1"/>
    <col min="107" max="107" width="21.875" bestFit="1" customWidth="1"/>
    <col min="108" max="108" width="16" bestFit="1" customWidth="1"/>
    <col min="109" max="109" width="14.875" bestFit="1" customWidth="1"/>
    <col min="110" max="110" width="15.25" bestFit="1" customWidth="1"/>
    <col min="111" max="111" width="24" bestFit="1" customWidth="1"/>
    <col min="112" max="112" width="21.75" bestFit="1" customWidth="1"/>
    <col min="113" max="113" width="16.25" bestFit="1" customWidth="1"/>
    <col min="114" max="114" width="16.375" bestFit="1" customWidth="1"/>
    <col min="115" max="115" width="15.5" bestFit="1" customWidth="1"/>
    <col min="116" max="116" width="24.125" bestFit="1" customWidth="1"/>
    <col min="117" max="117" width="21.875" bestFit="1" customWidth="1"/>
    <col min="118" max="118" width="16" bestFit="1" customWidth="1"/>
    <col min="119" max="119" width="14.875" bestFit="1" customWidth="1"/>
    <col min="120" max="120" width="15.25" bestFit="1" customWidth="1"/>
    <col min="121" max="121" width="24" bestFit="1" customWidth="1"/>
    <col min="122" max="122" width="21.75" bestFit="1" customWidth="1"/>
  </cols>
  <sheetData>
    <row r="1" spans="1:122" ht="30" customHeight="1" thickBot="1" x14ac:dyDescent="0.3">
      <c r="A1" s="19" t="s">
        <v>198</v>
      </c>
      <c r="B1" s="20" t="s">
        <v>199</v>
      </c>
      <c r="C1" s="21">
        <v>46113</v>
      </c>
      <c r="D1" s="21">
        <v>46113</v>
      </c>
      <c r="E1" s="21">
        <v>46113</v>
      </c>
      <c r="F1" s="21">
        <v>46113</v>
      </c>
      <c r="G1" s="21">
        <v>46113</v>
      </c>
      <c r="H1" s="21">
        <v>46113</v>
      </c>
      <c r="I1" s="21">
        <v>46113</v>
      </c>
      <c r="J1" s="21">
        <v>46113</v>
      </c>
      <c r="K1" s="21">
        <v>46113</v>
      </c>
      <c r="L1" s="21">
        <v>46113</v>
      </c>
      <c r="M1" s="22" t="s">
        <v>200</v>
      </c>
      <c r="N1" s="22" t="s">
        <v>200</v>
      </c>
      <c r="O1" s="22" t="s">
        <v>200</v>
      </c>
      <c r="P1" s="22" t="s">
        <v>200</v>
      </c>
      <c r="Q1" s="22" t="s">
        <v>200</v>
      </c>
      <c r="R1" s="22" t="s">
        <v>200</v>
      </c>
      <c r="S1" s="22" t="s">
        <v>200</v>
      </c>
      <c r="T1" s="22" t="s">
        <v>200</v>
      </c>
      <c r="U1" s="22" t="s">
        <v>200</v>
      </c>
      <c r="V1" s="22" t="s">
        <v>200</v>
      </c>
      <c r="W1" s="22" t="s">
        <v>201</v>
      </c>
      <c r="X1" s="22" t="s">
        <v>201</v>
      </c>
      <c r="Y1" s="22" t="s">
        <v>201</v>
      </c>
      <c r="Z1" s="22" t="s">
        <v>201</v>
      </c>
      <c r="AA1" s="22" t="s">
        <v>201</v>
      </c>
      <c r="AB1" s="22" t="s">
        <v>201</v>
      </c>
      <c r="AC1" s="22" t="s">
        <v>201</v>
      </c>
      <c r="AD1" s="22" t="s">
        <v>201</v>
      </c>
      <c r="AE1" s="22" t="s">
        <v>201</v>
      </c>
      <c r="AF1" s="22" t="s">
        <v>201</v>
      </c>
      <c r="AG1" s="23" t="s">
        <v>202</v>
      </c>
      <c r="AH1" s="23" t="s">
        <v>202</v>
      </c>
      <c r="AI1" s="23" t="s">
        <v>202</v>
      </c>
      <c r="AJ1" s="23" t="s">
        <v>202</v>
      </c>
      <c r="AK1" s="23" t="s">
        <v>202</v>
      </c>
      <c r="AL1" s="23" t="s">
        <v>202</v>
      </c>
      <c r="AM1" s="23" t="s">
        <v>202</v>
      </c>
      <c r="AN1" s="23" t="s">
        <v>202</v>
      </c>
      <c r="AO1" s="23" t="s">
        <v>202</v>
      </c>
      <c r="AP1" s="23" t="s">
        <v>202</v>
      </c>
      <c r="AQ1" s="23" t="s">
        <v>203</v>
      </c>
      <c r="AR1" s="23" t="s">
        <v>203</v>
      </c>
      <c r="AS1" s="23" t="s">
        <v>203</v>
      </c>
      <c r="AT1" s="23" t="s">
        <v>203</v>
      </c>
      <c r="AU1" s="23" t="s">
        <v>203</v>
      </c>
      <c r="AV1" s="23" t="s">
        <v>203</v>
      </c>
      <c r="AW1" s="23" t="s">
        <v>203</v>
      </c>
      <c r="AX1" s="23" t="s">
        <v>203</v>
      </c>
      <c r="AY1" s="23" t="s">
        <v>203</v>
      </c>
      <c r="AZ1" s="23" t="s">
        <v>203</v>
      </c>
      <c r="BA1" s="23" t="s">
        <v>204</v>
      </c>
      <c r="BB1" s="23" t="s">
        <v>204</v>
      </c>
      <c r="BC1" s="23" t="s">
        <v>204</v>
      </c>
      <c r="BD1" s="23" t="s">
        <v>204</v>
      </c>
      <c r="BE1" s="23" t="s">
        <v>204</v>
      </c>
      <c r="BF1" s="23" t="s">
        <v>204</v>
      </c>
      <c r="BG1" s="23" t="s">
        <v>204</v>
      </c>
      <c r="BH1" s="23" t="s">
        <v>204</v>
      </c>
      <c r="BI1" s="23" t="s">
        <v>204</v>
      </c>
      <c r="BJ1" s="23" t="s">
        <v>204</v>
      </c>
      <c r="BK1" s="23" t="s">
        <v>205</v>
      </c>
      <c r="BL1" s="23" t="s">
        <v>205</v>
      </c>
      <c r="BM1" s="23" t="s">
        <v>205</v>
      </c>
      <c r="BN1" s="23" t="s">
        <v>205</v>
      </c>
      <c r="BO1" s="23" t="s">
        <v>205</v>
      </c>
      <c r="BP1" s="23" t="s">
        <v>205</v>
      </c>
      <c r="BQ1" s="23" t="s">
        <v>205</v>
      </c>
      <c r="BR1" s="23" t="s">
        <v>205</v>
      </c>
      <c r="BS1" s="23" t="s">
        <v>205</v>
      </c>
      <c r="BT1" s="23" t="s">
        <v>205</v>
      </c>
      <c r="BU1" s="23" t="s">
        <v>206</v>
      </c>
      <c r="BV1" s="23" t="s">
        <v>206</v>
      </c>
      <c r="BW1" s="23" t="s">
        <v>206</v>
      </c>
      <c r="BX1" s="23" t="s">
        <v>206</v>
      </c>
      <c r="BY1" s="23" t="s">
        <v>206</v>
      </c>
      <c r="BZ1" s="23" t="s">
        <v>206</v>
      </c>
      <c r="CA1" s="23" t="s">
        <v>206</v>
      </c>
      <c r="CB1" s="23" t="s">
        <v>206</v>
      </c>
      <c r="CC1" s="23" t="s">
        <v>206</v>
      </c>
      <c r="CD1" s="23" t="s">
        <v>206</v>
      </c>
      <c r="CE1" s="23" t="s">
        <v>207</v>
      </c>
      <c r="CF1" s="23" t="s">
        <v>207</v>
      </c>
      <c r="CG1" s="23" t="s">
        <v>207</v>
      </c>
      <c r="CH1" s="23" t="s">
        <v>207</v>
      </c>
      <c r="CI1" s="23" t="s">
        <v>207</v>
      </c>
      <c r="CJ1" s="23" t="s">
        <v>207</v>
      </c>
      <c r="CK1" s="23" t="s">
        <v>207</v>
      </c>
      <c r="CL1" s="23" t="s">
        <v>207</v>
      </c>
      <c r="CM1" s="23" t="s">
        <v>207</v>
      </c>
      <c r="CN1" s="23" t="s">
        <v>207</v>
      </c>
      <c r="CO1" s="23" t="s">
        <v>208</v>
      </c>
      <c r="CP1" s="23" t="s">
        <v>208</v>
      </c>
      <c r="CQ1" s="23" t="s">
        <v>208</v>
      </c>
      <c r="CR1" s="23" t="s">
        <v>208</v>
      </c>
      <c r="CS1" s="23" t="s">
        <v>208</v>
      </c>
      <c r="CT1" s="23" t="s">
        <v>208</v>
      </c>
      <c r="CU1" s="23" t="s">
        <v>208</v>
      </c>
      <c r="CV1" s="23" t="s">
        <v>208</v>
      </c>
      <c r="CW1" s="23" t="s">
        <v>208</v>
      </c>
      <c r="CX1" s="23" t="s">
        <v>208</v>
      </c>
      <c r="CY1" s="23" t="s">
        <v>209</v>
      </c>
      <c r="CZ1" s="23" t="s">
        <v>209</v>
      </c>
      <c r="DA1" s="23" t="s">
        <v>209</v>
      </c>
      <c r="DB1" s="23" t="s">
        <v>209</v>
      </c>
      <c r="DC1" s="23" t="s">
        <v>209</v>
      </c>
      <c r="DD1" s="23" t="s">
        <v>209</v>
      </c>
      <c r="DE1" s="23" t="s">
        <v>209</v>
      </c>
      <c r="DF1" s="23" t="s">
        <v>209</v>
      </c>
      <c r="DG1" s="23" t="s">
        <v>209</v>
      </c>
      <c r="DH1" s="23" t="s">
        <v>209</v>
      </c>
      <c r="DI1" s="23" t="s">
        <v>210</v>
      </c>
      <c r="DJ1" s="23" t="s">
        <v>210</v>
      </c>
      <c r="DK1" s="23" t="s">
        <v>210</v>
      </c>
      <c r="DL1" s="23" t="s">
        <v>210</v>
      </c>
      <c r="DM1" s="23" t="s">
        <v>210</v>
      </c>
      <c r="DN1" s="23" t="s">
        <v>210</v>
      </c>
      <c r="DO1" s="23" t="s">
        <v>210</v>
      </c>
      <c r="DP1" s="23" t="s">
        <v>210</v>
      </c>
      <c r="DQ1" s="23" t="s">
        <v>210</v>
      </c>
      <c r="DR1" s="23" t="s">
        <v>210</v>
      </c>
    </row>
    <row r="2" spans="1:122" ht="30" customHeight="1" x14ac:dyDescent="0.25">
      <c r="A2" s="24"/>
      <c r="B2" s="25"/>
      <c r="C2" s="26" t="s">
        <v>211</v>
      </c>
      <c r="D2" s="26" t="s">
        <v>212</v>
      </c>
      <c r="E2" s="26" t="s">
        <v>213</v>
      </c>
      <c r="F2" s="26" t="s">
        <v>214</v>
      </c>
      <c r="G2" s="26" t="s">
        <v>215</v>
      </c>
      <c r="H2" s="26" t="s">
        <v>216</v>
      </c>
      <c r="I2" s="26" t="s">
        <v>217</v>
      </c>
      <c r="J2" s="26" t="s">
        <v>218</v>
      </c>
      <c r="K2" s="26" t="s">
        <v>219</v>
      </c>
      <c r="L2" s="26" t="s">
        <v>220</v>
      </c>
      <c r="M2" s="26" t="s">
        <v>211</v>
      </c>
      <c r="N2" s="26" t="s">
        <v>212</v>
      </c>
      <c r="O2" s="26" t="s">
        <v>213</v>
      </c>
      <c r="P2" s="26" t="s">
        <v>214</v>
      </c>
      <c r="Q2" s="26" t="s">
        <v>215</v>
      </c>
      <c r="R2" s="26" t="s">
        <v>216</v>
      </c>
      <c r="S2" s="26" t="s">
        <v>217</v>
      </c>
      <c r="T2" s="26" t="s">
        <v>218</v>
      </c>
      <c r="U2" s="26" t="s">
        <v>219</v>
      </c>
      <c r="V2" s="26" t="s">
        <v>220</v>
      </c>
      <c r="W2" s="26" t="s">
        <v>211</v>
      </c>
      <c r="X2" s="26" t="s">
        <v>212</v>
      </c>
      <c r="Y2" s="26" t="s">
        <v>213</v>
      </c>
      <c r="Z2" s="26" t="s">
        <v>214</v>
      </c>
      <c r="AA2" s="26" t="s">
        <v>215</v>
      </c>
      <c r="AB2" s="26" t="s">
        <v>216</v>
      </c>
      <c r="AC2" s="26" t="s">
        <v>217</v>
      </c>
      <c r="AD2" s="26" t="s">
        <v>218</v>
      </c>
      <c r="AE2" s="26" t="s">
        <v>219</v>
      </c>
      <c r="AF2" s="26" t="s">
        <v>220</v>
      </c>
      <c r="AG2" s="26" t="s">
        <v>211</v>
      </c>
      <c r="AH2" s="26" t="s">
        <v>212</v>
      </c>
      <c r="AI2" s="26" t="s">
        <v>213</v>
      </c>
      <c r="AJ2" s="26" t="s">
        <v>214</v>
      </c>
      <c r="AK2" s="26" t="s">
        <v>215</v>
      </c>
      <c r="AL2" s="26" t="s">
        <v>216</v>
      </c>
      <c r="AM2" s="26" t="s">
        <v>217</v>
      </c>
      <c r="AN2" s="26" t="s">
        <v>218</v>
      </c>
      <c r="AO2" s="26" t="s">
        <v>219</v>
      </c>
      <c r="AP2" s="26" t="s">
        <v>220</v>
      </c>
      <c r="AQ2" s="26" t="s">
        <v>211</v>
      </c>
      <c r="AR2" s="26" t="s">
        <v>212</v>
      </c>
      <c r="AS2" s="26" t="s">
        <v>213</v>
      </c>
      <c r="AT2" s="26" t="s">
        <v>214</v>
      </c>
      <c r="AU2" s="26" t="s">
        <v>215</v>
      </c>
      <c r="AV2" s="26" t="s">
        <v>216</v>
      </c>
      <c r="AW2" s="26" t="s">
        <v>217</v>
      </c>
      <c r="AX2" s="26" t="s">
        <v>218</v>
      </c>
      <c r="AY2" s="26" t="s">
        <v>219</v>
      </c>
      <c r="AZ2" s="26" t="s">
        <v>220</v>
      </c>
      <c r="BA2" s="26" t="s">
        <v>211</v>
      </c>
      <c r="BB2" s="26" t="s">
        <v>212</v>
      </c>
      <c r="BC2" s="26" t="s">
        <v>213</v>
      </c>
      <c r="BD2" s="26" t="s">
        <v>214</v>
      </c>
      <c r="BE2" s="26" t="s">
        <v>215</v>
      </c>
      <c r="BF2" s="26" t="s">
        <v>216</v>
      </c>
      <c r="BG2" s="26" t="s">
        <v>217</v>
      </c>
      <c r="BH2" s="26" t="s">
        <v>218</v>
      </c>
      <c r="BI2" s="26" t="s">
        <v>219</v>
      </c>
      <c r="BJ2" s="26" t="s">
        <v>220</v>
      </c>
      <c r="BK2" s="26" t="s">
        <v>211</v>
      </c>
      <c r="BL2" s="26" t="s">
        <v>212</v>
      </c>
      <c r="BM2" s="26" t="s">
        <v>213</v>
      </c>
      <c r="BN2" s="26" t="s">
        <v>214</v>
      </c>
      <c r="BO2" s="26" t="s">
        <v>215</v>
      </c>
      <c r="BP2" s="26" t="s">
        <v>216</v>
      </c>
      <c r="BQ2" s="26" t="s">
        <v>217</v>
      </c>
      <c r="BR2" s="26" t="s">
        <v>218</v>
      </c>
      <c r="BS2" s="26" t="s">
        <v>219</v>
      </c>
      <c r="BT2" s="26" t="s">
        <v>220</v>
      </c>
      <c r="BU2" s="26" t="s">
        <v>211</v>
      </c>
      <c r="BV2" s="26" t="s">
        <v>212</v>
      </c>
      <c r="BW2" s="26" t="s">
        <v>213</v>
      </c>
      <c r="BX2" s="26" t="s">
        <v>214</v>
      </c>
      <c r="BY2" s="26" t="s">
        <v>215</v>
      </c>
      <c r="BZ2" s="26" t="s">
        <v>216</v>
      </c>
      <c r="CA2" s="26" t="s">
        <v>217</v>
      </c>
      <c r="CB2" s="26" t="s">
        <v>218</v>
      </c>
      <c r="CC2" s="26" t="s">
        <v>219</v>
      </c>
      <c r="CD2" s="26" t="s">
        <v>220</v>
      </c>
      <c r="CE2" s="26" t="s">
        <v>211</v>
      </c>
      <c r="CF2" s="26" t="s">
        <v>212</v>
      </c>
      <c r="CG2" s="26" t="s">
        <v>213</v>
      </c>
      <c r="CH2" s="26" t="s">
        <v>214</v>
      </c>
      <c r="CI2" s="26" t="s">
        <v>215</v>
      </c>
      <c r="CJ2" s="26" t="s">
        <v>216</v>
      </c>
      <c r="CK2" s="26" t="s">
        <v>217</v>
      </c>
      <c r="CL2" s="26" t="s">
        <v>218</v>
      </c>
      <c r="CM2" s="26" t="s">
        <v>219</v>
      </c>
      <c r="CN2" s="26" t="s">
        <v>220</v>
      </c>
      <c r="CO2" s="26" t="s">
        <v>211</v>
      </c>
      <c r="CP2" s="26" t="s">
        <v>212</v>
      </c>
      <c r="CQ2" s="26" t="s">
        <v>213</v>
      </c>
      <c r="CR2" s="26" t="s">
        <v>214</v>
      </c>
      <c r="CS2" s="26" t="s">
        <v>215</v>
      </c>
      <c r="CT2" s="26" t="s">
        <v>216</v>
      </c>
      <c r="CU2" s="26" t="s">
        <v>217</v>
      </c>
      <c r="CV2" s="26" t="s">
        <v>218</v>
      </c>
      <c r="CW2" s="26" t="s">
        <v>219</v>
      </c>
      <c r="CX2" s="26" t="s">
        <v>220</v>
      </c>
      <c r="CY2" s="26" t="s">
        <v>211</v>
      </c>
      <c r="CZ2" s="26" t="s">
        <v>212</v>
      </c>
      <c r="DA2" s="26" t="s">
        <v>213</v>
      </c>
      <c r="DB2" s="26" t="s">
        <v>214</v>
      </c>
      <c r="DC2" s="26" t="s">
        <v>215</v>
      </c>
      <c r="DD2" s="26" t="s">
        <v>216</v>
      </c>
      <c r="DE2" s="26" t="s">
        <v>217</v>
      </c>
      <c r="DF2" s="26" t="s">
        <v>218</v>
      </c>
      <c r="DG2" s="26" t="s">
        <v>219</v>
      </c>
      <c r="DH2" s="26" t="s">
        <v>220</v>
      </c>
      <c r="DI2" s="26" t="s">
        <v>211</v>
      </c>
      <c r="DJ2" s="26" t="s">
        <v>212</v>
      </c>
      <c r="DK2" s="26" t="s">
        <v>213</v>
      </c>
      <c r="DL2" s="26" t="s">
        <v>214</v>
      </c>
      <c r="DM2" s="26" t="s">
        <v>215</v>
      </c>
      <c r="DN2" s="26" t="s">
        <v>216</v>
      </c>
      <c r="DO2" s="26" t="s">
        <v>217</v>
      </c>
      <c r="DP2" s="26" t="s">
        <v>218</v>
      </c>
      <c r="DQ2" s="26" t="s">
        <v>219</v>
      </c>
      <c r="DR2" s="26" t="s">
        <v>220</v>
      </c>
    </row>
    <row r="3" spans="1:122" ht="30" customHeight="1" x14ac:dyDescent="0.25">
      <c r="A3" s="27"/>
      <c r="B3" s="28" t="s">
        <v>221</v>
      </c>
      <c r="C3" s="29">
        <v>5</v>
      </c>
      <c r="D3" s="30">
        <v>8249.1106290672451</v>
      </c>
      <c r="E3" s="29">
        <v>6915</v>
      </c>
      <c r="F3" s="29">
        <v>57042600</v>
      </c>
      <c r="G3" s="29">
        <v>86722919.999999985</v>
      </c>
      <c r="H3" s="29"/>
      <c r="I3" s="29"/>
      <c r="J3" s="29"/>
      <c r="K3" s="29"/>
      <c r="L3" s="29"/>
      <c r="M3" s="29">
        <v>3</v>
      </c>
      <c r="N3" s="30">
        <v>8274.3269862114248</v>
      </c>
      <c r="O3" s="29">
        <v>4569</v>
      </c>
      <c r="P3" s="29">
        <v>37805400</v>
      </c>
      <c r="Q3" s="29">
        <v>87309514.583333328</v>
      </c>
      <c r="R3" s="29"/>
      <c r="S3" s="29"/>
      <c r="T3" s="29"/>
      <c r="U3" s="29"/>
      <c r="V3" s="29"/>
      <c r="W3" s="29">
        <v>5</v>
      </c>
      <c r="X3" s="30">
        <v>8268.467741935483</v>
      </c>
      <c r="Y3" s="29">
        <v>7440</v>
      </c>
      <c r="Z3" s="29">
        <v>61517400</v>
      </c>
      <c r="AA3" s="31">
        <v>77332449.166666657</v>
      </c>
      <c r="AB3" s="29"/>
      <c r="AC3" s="29"/>
      <c r="AD3" s="29"/>
      <c r="AE3" s="29"/>
      <c r="AF3" s="29"/>
      <c r="AG3" s="29">
        <v>5</v>
      </c>
      <c r="AH3" s="30">
        <v>8400</v>
      </c>
      <c r="AI3" s="29">
        <v>8490</v>
      </c>
      <c r="AJ3" s="29">
        <v>71316000</v>
      </c>
      <c r="AK3" s="29">
        <v>83974119.166666657</v>
      </c>
      <c r="AL3" s="29"/>
      <c r="AM3" s="29"/>
      <c r="AN3" s="29"/>
      <c r="AO3" s="29"/>
      <c r="AP3" s="29"/>
      <c r="AQ3" s="29">
        <v>5</v>
      </c>
      <c r="AR3" s="30">
        <v>8400</v>
      </c>
      <c r="AS3" s="29">
        <v>8490</v>
      </c>
      <c r="AT3" s="29">
        <v>71316000</v>
      </c>
      <c r="AU3" s="29">
        <v>91105719.166666642</v>
      </c>
      <c r="AV3" s="29"/>
      <c r="AW3" s="29"/>
      <c r="AX3" s="29"/>
      <c r="AY3" s="29"/>
      <c r="AZ3" s="29"/>
      <c r="BA3" s="29">
        <v>7</v>
      </c>
      <c r="BB3" s="30">
        <v>8389.6752046474776</v>
      </c>
      <c r="BC3" s="29">
        <v>11361</v>
      </c>
      <c r="BD3" s="29">
        <v>95315100</v>
      </c>
      <c r="BE3" s="29">
        <v>103003074.16666664</v>
      </c>
      <c r="BF3" s="29"/>
      <c r="BG3" s="29"/>
      <c r="BH3" s="29"/>
      <c r="BI3" s="29"/>
      <c r="BJ3" s="29"/>
      <c r="BK3" s="29">
        <v>7</v>
      </c>
      <c r="BL3" s="29">
        <v>8810.461586362575</v>
      </c>
      <c r="BM3" s="29">
        <v>12847</v>
      </c>
      <c r="BN3" s="29">
        <v>113188000</v>
      </c>
      <c r="BO3" s="29">
        <v>119523484.16666664</v>
      </c>
      <c r="BP3" s="29"/>
      <c r="BQ3" s="29"/>
      <c r="BR3" s="29"/>
      <c r="BS3" s="29"/>
      <c r="BT3" s="29"/>
      <c r="BU3" s="29">
        <v>7</v>
      </c>
      <c r="BV3" s="29">
        <v>8810.461586362575</v>
      </c>
      <c r="BW3" s="29">
        <v>12847</v>
      </c>
      <c r="BX3" s="29">
        <v>113188000</v>
      </c>
      <c r="BY3" s="29">
        <v>130083754.16666666</v>
      </c>
      <c r="BZ3" s="29"/>
      <c r="CA3" s="29"/>
      <c r="CB3" s="29"/>
      <c r="CC3" s="29"/>
      <c r="CD3" s="29"/>
      <c r="CE3" s="29">
        <v>11</v>
      </c>
      <c r="CF3" s="29">
        <v>8891.5168119551672</v>
      </c>
      <c r="CG3" s="29">
        <v>20075</v>
      </c>
      <c r="CH3" s="29">
        <v>178497200</v>
      </c>
      <c r="CI3" s="31">
        <v>190923174.16666666</v>
      </c>
      <c r="CJ3" s="29"/>
      <c r="CK3" s="29"/>
      <c r="CL3" s="29"/>
      <c r="CM3" s="29"/>
      <c r="CN3" s="29"/>
      <c r="CO3" s="29">
        <v>0</v>
      </c>
      <c r="CP3" s="29" t="e">
        <v>#DIV/0!</v>
      </c>
      <c r="CQ3" s="29">
        <v>0</v>
      </c>
      <c r="CR3" s="29">
        <v>0</v>
      </c>
      <c r="CS3" s="29">
        <v>225553124.16666666</v>
      </c>
      <c r="CT3" s="29"/>
      <c r="CU3" s="29"/>
      <c r="CV3" s="29"/>
      <c r="CW3" s="29"/>
      <c r="CX3" s="29"/>
      <c r="CY3" s="29">
        <v>0</v>
      </c>
      <c r="CZ3" s="29" t="e">
        <v>#DIV/0!</v>
      </c>
      <c r="DA3" s="29">
        <v>0</v>
      </c>
      <c r="DB3" s="29">
        <v>0</v>
      </c>
      <c r="DC3" s="29">
        <v>250787369.16666666</v>
      </c>
      <c r="DD3" s="29"/>
      <c r="DE3" s="29"/>
      <c r="DF3" s="29"/>
      <c r="DG3" s="29"/>
      <c r="DH3" s="29"/>
      <c r="DI3" s="29">
        <v>0</v>
      </c>
      <c r="DJ3" s="29" t="e">
        <v>#DIV/0!</v>
      </c>
      <c r="DK3" s="29">
        <v>0</v>
      </c>
      <c r="DL3" s="29">
        <v>0</v>
      </c>
      <c r="DM3" s="32">
        <v>294583819.16666669</v>
      </c>
      <c r="DN3" s="29"/>
      <c r="DO3" s="29"/>
      <c r="DP3" s="29"/>
      <c r="DQ3" s="29"/>
      <c r="DR3" s="29"/>
    </row>
    <row r="4" spans="1:122" ht="30" customHeight="1" x14ac:dyDescent="0.25">
      <c r="A4" s="27"/>
      <c r="B4" s="28" t="s">
        <v>222</v>
      </c>
      <c r="C4" s="29"/>
      <c r="D4" s="30"/>
      <c r="E4" s="29"/>
      <c r="F4" s="29"/>
      <c r="G4" s="29">
        <v>4185500.0000000005</v>
      </c>
      <c r="H4" s="29"/>
      <c r="I4" s="29"/>
      <c r="J4" s="29"/>
      <c r="K4" s="29"/>
      <c r="L4" s="29"/>
      <c r="M4" s="29"/>
      <c r="N4" s="30"/>
      <c r="O4" s="29"/>
      <c r="P4" s="29"/>
      <c r="Q4" s="29">
        <v>18985372.727272727</v>
      </c>
      <c r="R4" s="29"/>
      <c r="S4" s="29"/>
      <c r="T4" s="29"/>
      <c r="U4" s="29"/>
      <c r="V4" s="29"/>
      <c r="W4" s="29"/>
      <c r="X4" s="30"/>
      <c r="Y4" s="29"/>
      <c r="Z4" s="29"/>
      <c r="AA4" s="31">
        <v>16040410.909090908</v>
      </c>
      <c r="AB4" s="29"/>
      <c r="AC4" s="29"/>
      <c r="AD4" s="29"/>
      <c r="AE4" s="29"/>
      <c r="AF4" s="29"/>
      <c r="AG4" s="29"/>
      <c r="AH4" s="30"/>
      <c r="AI4" s="29"/>
      <c r="AJ4" s="29"/>
      <c r="AK4" s="29">
        <v>16040410.909090908</v>
      </c>
      <c r="AL4" s="29"/>
      <c r="AM4" s="29"/>
      <c r="AN4" s="29"/>
      <c r="AO4" s="29"/>
      <c r="AP4" s="29"/>
      <c r="AQ4" s="29"/>
      <c r="AR4" s="30"/>
      <c r="AS4" s="29"/>
      <c r="AT4" s="29"/>
      <c r="AU4" s="29">
        <v>16040410.909090908</v>
      </c>
      <c r="AV4" s="29"/>
      <c r="AW4" s="29"/>
      <c r="AX4" s="29"/>
      <c r="AY4" s="29"/>
      <c r="AZ4" s="29"/>
      <c r="BA4" s="29"/>
      <c r="BB4" s="30"/>
      <c r="BC4" s="29"/>
      <c r="BD4" s="29"/>
      <c r="BE4" s="29">
        <v>16040410.909090908</v>
      </c>
      <c r="BF4" s="29"/>
      <c r="BG4" s="29"/>
      <c r="BH4" s="29"/>
      <c r="BI4" s="29"/>
      <c r="BJ4" s="29"/>
      <c r="BK4" s="29"/>
      <c r="BL4" s="29"/>
      <c r="BM4" s="29"/>
      <c r="BN4" s="29"/>
      <c r="BO4" s="29">
        <v>16040410.909090908</v>
      </c>
      <c r="BP4" s="29"/>
      <c r="BQ4" s="29"/>
      <c r="BR4" s="29"/>
      <c r="BS4" s="29"/>
      <c r="BT4" s="29"/>
      <c r="BU4" s="29"/>
      <c r="BV4" s="29"/>
      <c r="BW4" s="29"/>
      <c r="BX4" s="29"/>
      <c r="BY4" s="29">
        <v>16040410.909090908</v>
      </c>
      <c r="BZ4" s="29"/>
      <c r="CA4" s="29"/>
      <c r="CB4" s="29"/>
      <c r="CC4" s="29"/>
      <c r="CD4" s="29"/>
      <c r="CE4" s="29"/>
      <c r="CF4" s="29"/>
      <c r="CG4" s="29"/>
      <c r="CH4" s="29"/>
      <c r="CI4" s="31">
        <v>16040410.909090908</v>
      </c>
      <c r="CJ4" s="29"/>
      <c r="CK4" s="29"/>
      <c r="CL4" s="29"/>
      <c r="CM4" s="29"/>
      <c r="CN4" s="29"/>
      <c r="CO4" s="29"/>
      <c r="CP4" s="29"/>
      <c r="CQ4" s="29"/>
      <c r="CR4" s="29"/>
      <c r="CS4" s="29">
        <v>16040410.909090908</v>
      </c>
      <c r="CT4" s="29"/>
      <c r="CU4" s="29"/>
      <c r="CV4" s="29"/>
      <c r="CW4" s="29"/>
      <c r="CX4" s="29"/>
      <c r="CY4" s="29"/>
      <c r="CZ4" s="29"/>
      <c r="DA4" s="29"/>
      <c r="DB4" s="29"/>
      <c r="DC4" s="29">
        <v>16040410.909090908</v>
      </c>
      <c r="DD4" s="29"/>
      <c r="DE4" s="29"/>
      <c r="DF4" s="29"/>
      <c r="DG4" s="29"/>
      <c r="DH4" s="29"/>
      <c r="DI4" s="29"/>
      <c r="DJ4" s="29"/>
      <c r="DK4" s="29"/>
      <c r="DL4" s="29"/>
      <c r="DM4" s="32">
        <v>16040410.909090908</v>
      </c>
      <c r="DN4" s="29"/>
      <c r="DO4" s="29"/>
      <c r="DP4" s="29"/>
      <c r="DQ4" s="29"/>
      <c r="DR4" s="29"/>
    </row>
    <row r="5" spans="1:122" ht="30" customHeight="1" x14ac:dyDescent="0.25">
      <c r="A5" s="27"/>
      <c r="B5" s="28" t="s">
        <v>223</v>
      </c>
      <c r="C5" s="29">
        <v>19</v>
      </c>
      <c r="D5" s="30">
        <v>8388.7220517316964</v>
      </c>
      <c r="E5" s="29">
        <v>27372</v>
      </c>
      <c r="F5" s="29">
        <v>229616100</v>
      </c>
      <c r="G5" s="29">
        <v>107424104.99999999</v>
      </c>
      <c r="H5" s="29"/>
      <c r="I5" s="29"/>
      <c r="J5" s="29"/>
      <c r="K5" s="29"/>
      <c r="L5" s="29"/>
      <c r="M5" s="29">
        <v>17</v>
      </c>
      <c r="N5" s="30">
        <v>8287.2957850024504</v>
      </c>
      <c r="O5" s="29">
        <v>24484</v>
      </c>
      <c r="P5" s="29">
        <v>202906150</v>
      </c>
      <c r="Q5" s="29">
        <v>107791127.5</v>
      </c>
      <c r="R5" s="29"/>
      <c r="S5" s="29"/>
      <c r="T5" s="29"/>
      <c r="U5" s="29"/>
      <c r="V5" s="29"/>
      <c r="W5" s="29">
        <v>15</v>
      </c>
      <c r="X5" s="30">
        <v>8205.8815232722136</v>
      </c>
      <c r="Y5" s="29">
        <v>21270</v>
      </c>
      <c r="Z5" s="29">
        <v>174539100</v>
      </c>
      <c r="AA5" s="31">
        <v>101465380</v>
      </c>
      <c r="AB5" s="29"/>
      <c r="AC5" s="29"/>
      <c r="AD5" s="29"/>
      <c r="AE5" s="29"/>
      <c r="AF5" s="29"/>
      <c r="AG5" s="29">
        <v>13</v>
      </c>
      <c r="AH5" s="30">
        <v>8312.809131261889</v>
      </c>
      <c r="AI5" s="29">
        <v>18924</v>
      </c>
      <c r="AJ5" s="29">
        <v>157311600</v>
      </c>
      <c r="AK5" s="29">
        <v>118057915</v>
      </c>
      <c r="AL5" s="29"/>
      <c r="AM5" s="29"/>
      <c r="AN5" s="29"/>
      <c r="AO5" s="29"/>
      <c r="AP5" s="29"/>
      <c r="AQ5" s="29">
        <v>13</v>
      </c>
      <c r="AR5" s="30">
        <v>8305.3725745964457</v>
      </c>
      <c r="AS5" s="29">
        <v>18399</v>
      </c>
      <c r="AT5" s="29">
        <v>152810550</v>
      </c>
      <c r="AU5" s="29">
        <v>122083217.5</v>
      </c>
      <c r="AV5" s="29"/>
      <c r="AW5" s="29"/>
      <c r="AX5" s="29"/>
      <c r="AY5" s="29"/>
      <c r="AZ5" s="29"/>
      <c r="BA5" s="29">
        <v>10</v>
      </c>
      <c r="BB5" s="30">
        <v>8309.1431556948792</v>
      </c>
      <c r="BC5" s="29">
        <v>14355</v>
      </c>
      <c r="BD5" s="29">
        <v>119277750</v>
      </c>
      <c r="BE5" s="29">
        <v>125542325</v>
      </c>
      <c r="BF5" s="29"/>
      <c r="BG5" s="29"/>
      <c r="BH5" s="29"/>
      <c r="BI5" s="29"/>
      <c r="BJ5" s="29"/>
      <c r="BK5" s="29">
        <v>13</v>
      </c>
      <c r="BL5" s="29">
        <v>8405.3725745964457</v>
      </c>
      <c r="BM5" s="29">
        <v>18399</v>
      </c>
      <c r="BN5" s="29">
        <v>154650450</v>
      </c>
      <c r="BO5" s="29">
        <v>130511780</v>
      </c>
      <c r="BP5" s="29"/>
      <c r="BQ5" s="29"/>
      <c r="BR5" s="29"/>
      <c r="BS5" s="29"/>
      <c r="BT5" s="29"/>
      <c r="BU5" s="29">
        <v>15</v>
      </c>
      <c r="BV5" s="29">
        <v>8399.1106290672451</v>
      </c>
      <c r="BW5" s="29">
        <v>20745</v>
      </c>
      <c r="BX5" s="29">
        <v>174239550</v>
      </c>
      <c r="BY5" s="29">
        <v>154688802.50000003</v>
      </c>
      <c r="BZ5" s="29"/>
      <c r="CA5" s="29"/>
      <c r="CB5" s="29"/>
      <c r="CC5" s="29"/>
      <c r="CD5" s="29"/>
      <c r="CE5" s="29">
        <v>12</v>
      </c>
      <c r="CF5" s="29">
        <v>8400.8352793245922</v>
      </c>
      <c r="CG5" s="29">
        <v>16701</v>
      </c>
      <c r="CH5" s="29">
        <v>140302350</v>
      </c>
      <c r="CI5" s="31">
        <v>161296928.75</v>
      </c>
      <c r="CJ5" s="29"/>
      <c r="CK5" s="29"/>
      <c r="CL5" s="29"/>
      <c r="CM5" s="29"/>
      <c r="CN5" s="29"/>
      <c r="CO5" s="29">
        <v>21</v>
      </c>
      <c r="CP5" s="29">
        <v>8515.8713994762875</v>
      </c>
      <c r="CQ5" s="29">
        <v>30933</v>
      </c>
      <c r="CR5" s="29">
        <v>263421450</v>
      </c>
      <c r="CS5" s="29">
        <v>190531928.74999997</v>
      </c>
      <c r="CT5" s="29"/>
      <c r="CU5" s="29"/>
      <c r="CV5" s="29"/>
      <c r="CW5" s="29"/>
      <c r="CX5" s="29"/>
      <c r="CY5" s="29">
        <v>20</v>
      </c>
      <c r="CZ5" s="29">
        <v>8504.2203299627454</v>
      </c>
      <c r="DA5" s="29">
        <v>28185</v>
      </c>
      <c r="DB5" s="29">
        <v>239691450</v>
      </c>
      <c r="DC5" s="29">
        <v>208536681.25000003</v>
      </c>
      <c r="DD5" s="29"/>
      <c r="DE5" s="29"/>
      <c r="DF5" s="29"/>
      <c r="DG5" s="29"/>
      <c r="DH5" s="29"/>
      <c r="DI5" s="29">
        <v>23</v>
      </c>
      <c r="DJ5" s="29">
        <v>8519.2475749366422</v>
      </c>
      <c r="DK5" s="29">
        <v>34329</v>
      </c>
      <c r="DL5" s="29">
        <v>292457250</v>
      </c>
      <c r="DM5" s="32">
        <v>259549986.24999997</v>
      </c>
      <c r="DN5" s="29"/>
      <c r="DO5" s="29"/>
      <c r="DP5" s="29"/>
      <c r="DQ5" s="29"/>
      <c r="DR5" s="29"/>
    </row>
    <row r="6" spans="1:122" ht="30" customHeight="1" x14ac:dyDescent="0.25">
      <c r="A6" s="27"/>
      <c r="B6" s="28" t="s">
        <v>224</v>
      </c>
      <c r="C6" s="29">
        <v>10</v>
      </c>
      <c r="D6" s="30">
        <v>8057.5033766972347</v>
      </c>
      <c r="E6" s="29">
        <v>14067</v>
      </c>
      <c r="F6" s="29">
        <v>113344900</v>
      </c>
      <c r="G6" s="29">
        <v>157687814.99999997</v>
      </c>
      <c r="H6" s="29"/>
      <c r="I6" s="29"/>
      <c r="J6" s="29"/>
      <c r="K6" s="29"/>
      <c r="L6" s="29"/>
      <c r="M6" s="29">
        <v>13</v>
      </c>
      <c r="N6" s="30">
        <v>8091.6436081903712</v>
      </c>
      <c r="O6" s="29">
        <v>19877</v>
      </c>
      <c r="P6" s="29">
        <v>160837600</v>
      </c>
      <c r="Q6" s="29">
        <v>176304002.66666666</v>
      </c>
      <c r="R6" s="29"/>
      <c r="S6" s="29"/>
      <c r="T6" s="29"/>
      <c r="U6" s="29"/>
      <c r="V6" s="29"/>
      <c r="W6" s="29">
        <v>14</v>
      </c>
      <c r="X6" s="30">
        <v>8070.7491314772224</v>
      </c>
      <c r="Y6" s="29">
        <v>20437</v>
      </c>
      <c r="Z6" s="29">
        <v>164941900</v>
      </c>
      <c r="AA6" s="31">
        <v>148319228.33333334</v>
      </c>
      <c r="AB6" s="29"/>
      <c r="AC6" s="29"/>
      <c r="AD6" s="29"/>
      <c r="AE6" s="29"/>
      <c r="AF6" s="29"/>
      <c r="AG6" s="29">
        <v>22</v>
      </c>
      <c r="AH6" s="30">
        <v>8991.4061974860524</v>
      </c>
      <c r="AI6" s="29">
        <v>29754</v>
      </c>
      <c r="AJ6" s="29">
        <v>267530300</v>
      </c>
      <c r="AK6" s="29">
        <v>172866015.83333334</v>
      </c>
      <c r="AL6" s="29"/>
      <c r="AM6" s="29"/>
      <c r="AN6" s="29"/>
      <c r="AO6" s="29"/>
      <c r="AP6" s="29"/>
      <c r="AQ6" s="29">
        <v>20</v>
      </c>
      <c r="AR6" s="30">
        <v>8846.3966600335552</v>
      </c>
      <c r="AS6" s="29">
        <v>25629</v>
      </c>
      <c r="AT6" s="29">
        <v>226724300</v>
      </c>
      <c r="AU6" s="29">
        <v>195119893.33333334</v>
      </c>
      <c r="AV6" s="29"/>
      <c r="AW6" s="29"/>
      <c r="AX6" s="29"/>
      <c r="AY6" s="29"/>
      <c r="AZ6" s="29"/>
      <c r="BA6" s="29">
        <v>12</v>
      </c>
      <c r="BB6" s="30">
        <v>8617.7435289468485</v>
      </c>
      <c r="BC6" s="29">
        <v>15183</v>
      </c>
      <c r="BD6" s="29">
        <v>130843200</v>
      </c>
      <c r="BE6" s="29">
        <v>217568865.83333334</v>
      </c>
      <c r="BF6" s="29"/>
      <c r="BG6" s="29"/>
      <c r="BH6" s="29"/>
      <c r="BI6" s="29"/>
      <c r="BJ6" s="29"/>
      <c r="BK6" s="29">
        <v>10</v>
      </c>
      <c r="BL6" s="29">
        <v>8269.1194209891437</v>
      </c>
      <c r="BM6" s="29">
        <v>14922</v>
      </c>
      <c r="BN6" s="29">
        <v>123391800</v>
      </c>
      <c r="BO6" s="29">
        <v>217568063.33333334</v>
      </c>
      <c r="BP6" s="29"/>
      <c r="BQ6" s="29"/>
      <c r="BR6" s="29"/>
      <c r="BS6" s="29"/>
      <c r="BT6" s="29"/>
      <c r="BU6" s="29">
        <v>15</v>
      </c>
      <c r="BV6" s="29">
        <v>8297.5304451139309</v>
      </c>
      <c r="BW6" s="29">
        <v>23567</v>
      </c>
      <c r="BX6" s="29">
        <v>195547900</v>
      </c>
      <c r="BY6" s="29">
        <v>254525848.33333334</v>
      </c>
      <c r="BZ6" s="29"/>
      <c r="CA6" s="29"/>
      <c r="CB6" s="29"/>
      <c r="CC6" s="29"/>
      <c r="CD6" s="29"/>
      <c r="CE6" s="29">
        <v>16</v>
      </c>
      <c r="CF6" s="29">
        <v>8253.716351948573</v>
      </c>
      <c r="CG6" s="29">
        <v>22401</v>
      </c>
      <c r="CH6" s="29">
        <v>184891500</v>
      </c>
      <c r="CI6" s="31">
        <v>322371563.33333331</v>
      </c>
      <c r="CJ6" s="29"/>
      <c r="CK6" s="29"/>
      <c r="CL6" s="29"/>
      <c r="CM6" s="29"/>
      <c r="CN6" s="29"/>
      <c r="CO6" s="29">
        <v>16</v>
      </c>
      <c r="CP6" s="29">
        <v>8353.716351948573</v>
      </c>
      <c r="CQ6" s="29">
        <v>22401</v>
      </c>
      <c r="CR6" s="29">
        <v>187131600</v>
      </c>
      <c r="CS6" s="29">
        <v>351678704</v>
      </c>
      <c r="CT6" s="29"/>
      <c r="CU6" s="29"/>
      <c r="CV6" s="29"/>
      <c r="CW6" s="29"/>
      <c r="CX6" s="29"/>
      <c r="CY6" s="29">
        <v>17</v>
      </c>
      <c r="CZ6" s="29">
        <v>8314.8794679966759</v>
      </c>
      <c r="DA6" s="29">
        <v>10827</v>
      </c>
      <c r="DB6" s="29">
        <v>90025200</v>
      </c>
      <c r="DC6" s="29">
        <v>362982674.0000003</v>
      </c>
      <c r="DD6" s="29"/>
      <c r="DE6" s="29"/>
      <c r="DF6" s="29"/>
      <c r="DG6" s="29"/>
      <c r="DH6" s="29"/>
      <c r="DI6" s="29">
        <v>16</v>
      </c>
      <c r="DJ6" s="29">
        <v>8365.7361376673034</v>
      </c>
      <c r="DK6" s="29">
        <v>23535</v>
      </c>
      <c r="DL6" s="29">
        <v>196887600</v>
      </c>
      <c r="DM6" s="32">
        <v>239880364</v>
      </c>
      <c r="DN6" s="29"/>
      <c r="DO6" s="29"/>
      <c r="DP6" s="29"/>
      <c r="DQ6" s="29"/>
      <c r="DR6" s="29"/>
    </row>
    <row r="7" spans="1:122" ht="30" customHeight="1" x14ac:dyDescent="0.25">
      <c r="A7" s="27"/>
      <c r="B7" s="28" t="s">
        <v>225</v>
      </c>
      <c r="C7" s="29">
        <v>5</v>
      </c>
      <c r="D7" s="30">
        <v>6629.1161455009569</v>
      </c>
      <c r="E7" s="29">
        <v>6268</v>
      </c>
      <c r="F7" s="29">
        <v>41551300</v>
      </c>
      <c r="G7" s="29">
        <v>18423402.5</v>
      </c>
      <c r="H7" s="29"/>
      <c r="I7" s="29"/>
      <c r="J7" s="29"/>
      <c r="K7" s="29"/>
      <c r="L7" s="29"/>
      <c r="M7" s="29">
        <v>6</v>
      </c>
      <c r="N7" s="30">
        <v>6624.3365782104283</v>
      </c>
      <c r="O7" s="29">
        <v>7499</v>
      </c>
      <c r="P7" s="29">
        <v>49675900</v>
      </c>
      <c r="Q7" s="29">
        <v>22984762.5</v>
      </c>
      <c r="R7" s="29"/>
      <c r="S7" s="29"/>
      <c r="T7" s="29"/>
      <c r="U7" s="29"/>
      <c r="V7" s="29"/>
      <c r="W7" s="29">
        <v>7</v>
      </c>
      <c r="X7" s="30">
        <v>6644.3553287155182</v>
      </c>
      <c r="Y7" s="29">
        <v>8229</v>
      </c>
      <c r="Z7" s="29">
        <v>54676400</v>
      </c>
      <c r="AA7" s="31">
        <v>22339377.5</v>
      </c>
      <c r="AB7" s="29"/>
      <c r="AC7" s="29"/>
      <c r="AD7" s="29"/>
      <c r="AE7" s="29"/>
      <c r="AF7" s="29"/>
      <c r="AG7" s="29">
        <v>9</v>
      </c>
      <c r="AH7" s="30">
        <v>6708.1878523367886</v>
      </c>
      <c r="AI7" s="29">
        <v>10998</v>
      </c>
      <c r="AJ7" s="29">
        <v>73776650</v>
      </c>
      <c r="AK7" s="29">
        <v>28762030.000000004</v>
      </c>
      <c r="AL7" s="29"/>
      <c r="AM7" s="29"/>
      <c r="AN7" s="29"/>
      <c r="AO7" s="29"/>
      <c r="AP7" s="29"/>
      <c r="AQ7" s="29">
        <v>9</v>
      </c>
      <c r="AR7" s="30">
        <v>6708.1878523367886</v>
      </c>
      <c r="AS7" s="29">
        <v>10998</v>
      </c>
      <c r="AT7" s="29">
        <v>73776650</v>
      </c>
      <c r="AU7" s="29">
        <v>36945328.75</v>
      </c>
      <c r="AV7" s="29"/>
      <c r="AW7" s="29"/>
      <c r="AX7" s="29"/>
      <c r="AY7" s="29"/>
      <c r="AZ7" s="29"/>
      <c r="BA7" s="29">
        <v>7</v>
      </c>
      <c r="BB7" s="30">
        <v>6695.1947548965363</v>
      </c>
      <c r="BC7" s="29">
        <v>9037</v>
      </c>
      <c r="BD7" s="29">
        <v>60504475</v>
      </c>
      <c r="BE7" s="29">
        <v>45503801.25</v>
      </c>
      <c r="BF7" s="29"/>
      <c r="BG7" s="29"/>
      <c r="BH7" s="29"/>
      <c r="BI7" s="29"/>
      <c r="BJ7" s="29"/>
      <c r="BK7" s="29">
        <v>8</v>
      </c>
      <c r="BL7" s="29">
        <v>6787.3707382000612</v>
      </c>
      <c r="BM7" s="29">
        <v>9767</v>
      </c>
      <c r="BN7" s="29">
        <v>66292250</v>
      </c>
      <c r="BO7" s="29">
        <v>53024445</v>
      </c>
      <c r="BP7" s="29"/>
      <c r="BQ7" s="29"/>
      <c r="BR7" s="29"/>
      <c r="BS7" s="29"/>
      <c r="BT7" s="29"/>
      <c r="BU7" s="29">
        <v>11</v>
      </c>
      <c r="BV7" s="29">
        <v>6776.5126752378874</v>
      </c>
      <c r="BW7" s="29">
        <v>13767</v>
      </c>
      <c r="BX7" s="29">
        <v>93292250</v>
      </c>
      <c r="BY7" s="29">
        <v>65975588.750000007</v>
      </c>
      <c r="BZ7" s="29"/>
      <c r="CA7" s="29"/>
      <c r="CB7" s="29"/>
      <c r="CC7" s="29"/>
      <c r="CD7" s="29"/>
      <c r="CE7" s="29">
        <v>12</v>
      </c>
      <c r="CF7" s="29">
        <v>7235.7868368677509</v>
      </c>
      <c r="CG7" s="29">
        <v>14571</v>
      </c>
      <c r="CH7" s="29">
        <v>105432650</v>
      </c>
      <c r="CI7" s="31">
        <v>82486549.375</v>
      </c>
      <c r="CJ7" s="29"/>
      <c r="CK7" s="29"/>
      <c r="CL7" s="29"/>
      <c r="CM7" s="29"/>
      <c r="CN7" s="29"/>
      <c r="CO7" s="29">
        <v>13</v>
      </c>
      <c r="CP7" s="29">
        <v>7269.1273256549803</v>
      </c>
      <c r="CQ7" s="29">
        <v>15802</v>
      </c>
      <c r="CR7" s="29">
        <v>114866750</v>
      </c>
      <c r="CS7" s="29">
        <v>107659110.625</v>
      </c>
      <c r="CT7" s="29"/>
      <c r="CU7" s="29"/>
      <c r="CV7" s="29"/>
      <c r="CW7" s="29"/>
      <c r="CX7" s="29"/>
      <c r="CY7" s="29">
        <v>14</v>
      </c>
      <c r="CZ7" s="29">
        <v>7229.7347174163779</v>
      </c>
      <c r="DA7" s="29">
        <v>17340</v>
      </c>
      <c r="DB7" s="29">
        <v>125363600</v>
      </c>
      <c r="DC7" s="29">
        <v>125531690.62500001</v>
      </c>
      <c r="DD7" s="29"/>
      <c r="DE7" s="29"/>
      <c r="DF7" s="29"/>
      <c r="DG7" s="29"/>
      <c r="DH7" s="29"/>
      <c r="DI7" s="29">
        <v>14</v>
      </c>
      <c r="DJ7" s="29">
        <v>7229.7347174163779</v>
      </c>
      <c r="DK7" s="29">
        <v>17340</v>
      </c>
      <c r="DL7" s="29">
        <v>125363600</v>
      </c>
      <c r="DM7" s="32">
        <v>110532881.875</v>
      </c>
      <c r="DN7" s="29"/>
      <c r="DO7" s="29"/>
      <c r="DP7" s="29"/>
      <c r="DQ7" s="29"/>
      <c r="DR7" s="29"/>
    </row>
    <row r="8" spans="1:122" ht="30" customHeight="1" x14ac:dyDescent="0.25">
      <c r="A8" s="27"/>
      <c r="B8" s="28" t="s">
        <v>226</v>
      </c>
      <c r="C8" s="29">
        <v>3</v>
      </c>
      <c r="D8" s="30">
        <v>9318.7588152327226</v>
      </c>
      <c r="E8" s="29">
        <v>1418</v>
      </c>
      <c r="F8" s="29">
        <v>13214000</v>
      </c>
      <c r="G8" s="29">
        <v>36161600</v>
      </c>
      <c r="H8" s="29"/>
      <c r="I8" s="29"/>
      <c r="J8" s="29"/>
      <c r="K8" s="29"/>
      <c r="L8" s="29"/>
      <c r="M8" s="29">
        <v>3</v>
      </c>
      <c r="N8" s="30">
        <v>9318.7588152327226</v>
      </c>
      <c r="O8" s="29">
        <v>1418</v>
      </c>
      <c r="P8" s="29">
        <v>13214000</v>
      </c>
      <c r="Q8" s="29">
        <v>37247500</v>
      </c>
      <c r="R8" s="29"/>
      <c r="S8" s="29"/>
      <c r="T8" s="29"/>
      <c r="U8" s="29"/>
      <c r="V8" s="29"/>
      <c r="W8" s="29">
        <v>3</v>
      </c>
      <c r="X8" s="30">
        <v>9318.7588152327226</v>
      </c>
      <c r="Y8" s="29">
        <v>1418</v>
      </c>
      <c r="Z8" s="29">
        <v>13214000</v>
      </c>
      <c r="AA8" s="31">
        <v>40551000</v>
      </c>
      <c r="AB8" s="29"/>
      <c r="AC8" s="29"/>
      <c r="AD8" s="29"/>
      <c r="AE8" s="29"/>
      <c r="AF8" s="29"/>
      <c r="AG8" s="29">
        <v>3</v>
      </c>
      <c r="AH8" s="30">
        <v>9318.7588152327226</v>
      </c>
      <c r="AI8" s="29">
        <v>1418</v>
      </c>
      <c r="AJ8" s="29">
        <v>13214000</v>
      </c>
      <c r="AK8" s="29">
        <v>36859166.666666672</v>
      </c>
      <c r="AL8" s="29"/>
      <c r="AM8" s="29"/>
      <c r="AN8" s="29"/>
      <c r="AO8" s="29"/>
      <c r="AP8" s="29"/>
      <c r="AQ8" s="29">
        <v>5</v>
      </c>
      <c r="AR8" s="30">
        <v>9384.190395240119</v>
      </c>
      <c r="AS8" s="29">
        <v>2353</v>
      </c>
      <c r="AT8" s="29">
        <v>22081000</v>
      </c>
      <c r="AU8" s="29">
        <v>38189216.666666664</v>
      </c>
      <c r="AV8" s="29"/>
      <c r="AW8" s="29"/>
      <c r="AX8" s="29"/>
      <c r="AY8" s="29"/>
      <c r="AZ8" s="29"/>
      <c r="BA8" s="29">
        <v>5</v>
      </c>
      <c r="BB8" s="30">
        <v>9384.190395240119</v>
      </c>
      <c r="BC8" s="29">
        <v>2353</v>
      </c>
      <c r="BD8" s="29">
        <v>22081000</v>
      </c>
      <c r="BE8" s="29">
        <v>41292666.666666664</v>
      </c>
      <c r="BF8" s="29"/>
      <c r="BG8" s="29"/>
      <c r="BH8" s="29"/>
      <c r="BI8" s="29"/>
      <c r="BJ8" s="29"/>
      <c r="BK8" s="29">
        <v>4</v>
      </c>
      <c r="BL8" s="29">
        <v>9237.7695949500267</v>
      </c>
      <c r="BM8" s="29">
        <v>1901</v>
      </c>
      <c r="BN8" s="29">
        <v>17561000</v>
      </c>
      <c r="BO8" s="29">
        <v>19186250</v>
      </c>
      <c r="BP8" s="29"/>
      <c r="BQ8" s="29"/>
      <c r="BR8" s="29"/>
      <c r="BS8" s="29"/>
      <c r="BT8" s="29"/>
      <c r="BU8" s="29">
        <v>4</v>
      </c>
      <c r="BV8" s="29">
        <v>9237.7695949500267</v>
      </c>
      <c r="BW8" s="29">
        <v>1901</v>
      </c>
      <c r="BX8" s="29">
        <v>17561000</v>
      </c>
      <c r="BY8" s="29">
        <v>19821000</v>
      </c>
      <c r="BZ8" s="29"/>
      <c r="CA8" s="29"/>
      <c r="CB8" s="29"/>
      <c r="CC8" s="29"/>
      <c r="CD8" s="29"/>
      <c r="CE8" s="29">
        <v>4</v>
      </c>
      <c r="CF8" s="29">
        <v>9237.7695949500267</v>
      </c>
      <c r="CG8" s="29">
        <v>1901</v>
      </c>
      <c r="CH8" s="29">
        <v>17561000</v>
      </c>
      <c r="CI8" s="31">
        <v>18691000</v>
      </c>
      <c r="CJ8" s="29"/>
      <c r="CK8" s="29"/>
      <c r="CL8" s="29"/>
      <c r="CM8" s="29"/>
      <c r="CN8" s="29"/>
      <c r="CO8" s="29">
        <v>2</v>
      </c>
      <c r="CP8" s="29">
        <v>9000</v>
      </c>
      <c r="CQ8" s="29">
        <v>966</v>
      </c>
      <c r="CR8" s="29">
        <v>8694000</v>
      </c>
      <c r="CS8" s="29">
        <v>16230950.000000002</v>
      </c>
      <c r="CT8" s="29"/>
      <c r="CU8" s="29"/>
      <c r="CV8" s="29"/>
      <c r="CW8" s="29"/>
      <c r="CX8" s="29"/>
      <c r="CY8" s="29">
        <v>2</v>
      </c>
      <c r="CZ8" s="29">
        <v>9000</v>
      </c>
      <c r="DA8" s="29">
        <v>966</v>
      </c>
      <c r="DB8" s="29">
        <v>8694000</v>
      </c>
      <c r="DC8" s="29">
        <v>14866300.000000002</v>
      </c>
      <c r="DD8" s="29"/>
      <c r="DE8" s="29"/>
      <c r="DF8" s="29"/>
      <c r="DG8" s="29"/>
      <c r="DH8" s="29"/>
      <c r="DI8" s="29">
        <v>2</v>
      </c>
      <c r="DJ8" s="29">
        <v>9000</v>
      </c>
      <c r="DK8" s="29">
        <v>966</v>
      </c>
      <c r="DL8" s="29">
        <v>8694000</v>
      </c>
      <c r="DM8" s="32">
        <v>10910750.000000002</v>
      </c>
      <c r="DN8" s="29"/>
      <c r="DO8" s="29"/>
      <c r="DP8" s="29"/>
      <c r="DQ8" s="29"/>
      <c r="DR8" s="29"/>
    </row>
    <row r="9" spans="1:122" ht="30" customHeight="1" x14ac:dyDescent="0.25">
      <c r="A9" s="27"/>
      <c r="B9" s="28" t="s">
        <v>227</v>
      </c>
      <c r="C9" s="29"/>
      <c r="D9" s="30"/>
      <c r="E9" s="29"/>
      <c r="F9" s="29"/>
      <c r="G9" s="29">
        <v>46511600.000000007</v>
      </c>
      <c r="H9" s="29"/>
      <c r="I9" s="29"/>
      <c r="J9" s="29"/>
      <c r="K9" s="29"/>
      <c r="L9" s="29"/>
      <c r="M9" s="29"/>
      <c r="N9" s="30"/>
      <c r="O9" s="29"/>
      <c r="P9" s="29"/>
      <c r="Q9" s="29">
        <v>35272800.000000015</v>
      </c>
      <c r="R9" s="29"/>
      <c r="S9" s="29"/>
      <c r="T9" s="29"/>
      <c r="U9" s="29"/>
      <c r="V9" s="29"/>
      <c r="W9" s="29"/>
      <c r="X9" s="30"/>
      <c r="Y9" s="29"/>
      <c r="Z9" s="29"/>
      <c r="AA9" s="31">
        <v>21446000.000000019</v>
      </c>
      <c r="AB9" s="29"/>
      <c r="AC9" s="29"/>
      <c r="AD9" s="29"/>
      <c r="AE9" s="29"/>
      <c r="AF9" s="29"/>
      <c r="AG9" s="29"/>
      <c r="AH9" s="30"/>
      <c r="AI9" s="29"/>
      <c r="AJ9" s="29"/>
      <c r="AK9" s="29">
        <v>23590600.000000019</v>
      </c>
      <c r="AL9" s="29"/>
      <c r="AM9" s="29"/>
      <c r="AN9" s="29"/>
      <c r="AO9" s="29"/>
      <c r="AP9" s="29"/>
      <c r="AQ9" s="29"/>
      <c r="AR9" s="30"/>
      <c r="AS9" s="29"/>
      <c r="AT9" s="29"/>
      <c r="AU9" s="29">
        <v>25735200.000000019</v>
      </c>
      <c r="AV9" s="29"/>
      <c r="AW9" s="29"/>
      <c r="AX9" s="29"/>
      <c r="AY9" s="29"/>
      <c r="AZ9" s="29"/>
      <c r="BA9" s="29"/>
      <c r="BB9" s="30"/>
      <c r="BC9" s="29"/>
      <c r="BD9" s="29"/>
      <c r="BE9" s="29">
        <v>64338000.00000006</v>
      </c>
      <c r="BF9" s="29"/>
      <c r="BG9" s="29"/>
      <c r="BH9" s="29"/>
      <c r="BI9" s="29"/>
      <c r="BJ9" s="29"/>
      <c r="BK9" s="29"/>
      <c r="BL9" s="29"/>
      <c r="BM9" s="29"/>
      <c r="BN9" s="29"/>
      <c r="BO9" s="29">
        <v>135109800.00000009</v>
      </c>
      <c r="BP9" s="29"/>
      <c r="BQ9" s="29"/>
      <c r="BR9" s="29"/>
      <c r="BS9" s="29"/>
      <c r="BT9" s="29"/>
      <c r="BU9" s="29"/>
      <c r="BV9" s="29"/>
      <c r="BW9" s="29"/>
      <c r="BX9" s="29"/>
      <c r="BY9" s="29">
        <v>0</v>
      </c>
      <c r="BZ9" s="29"/>
      <c r="CA9" s="29"/>
      <c r="CB9" s="29"/>
      <c r="CC9" s="29"/>
      <c r="CD9" s="29"/>
      <c r="CE9" s="29"/>
      <c r="CF9" s="29"/>
      <c r="CG9" s="29"/>
      <c r="CH9" s="29"/>
      <c r="CI9" s="31">
        <v>0</v>
      </c>
      <c r="CJ9" s="29"/>
      <c r="CK9" s="29"/>
      <c r="CL9" s="29"/>
      <c r="CM9" s="29"/>
      <c r="CN9" s="29"/>
      <c r="CO9" s="29"/>
      <c r="CP9" s="29"/>
      <c r="CQ9" s="29"/>
      <c r="CR9" s="29"/>
      <c r="CS9" s="29">
        <v>0</v>
      </c>
      <c r="CT9" s="29"/>
      <c r="CU9" s="29"/>
      <c r="CV9" s="29"/>
      <c r="CW9" s="29"/>
      <c r="CX9" s="29"/>
      <c r="CY9" s="29"/>
      <c r="CZ9" s="29"/>
      <c r="DA9" s="29"/>
      <c r="DB9" s="29"/>
      <c r="DC9" s="29">
        <v>0</v>
      </c>
      <c r="DD9" s="29"/>
      <c r="DE9" s="29"/>
      <c r="DF9" s="29"/>
      <c r="DG9" s="29"/>
      <c r="DH9" s="29"/>
      <c r="DI9" s="29"/>
      <c r="DJ9" s="29"/>
      <c r="DK9" s="29"/>
      <c r="DL9" s="29"/>
      <c r="DM9" s="32">
        <v>0</v>
      </c>
      <c r="DN9" s="29"/>
      <c r="DO9" s="29"/>
      <c r="DP9" s="29"/>
      <c r="DQ9" s="29"/>
      <c r="DR9" s="29"/>
    </row>
    <row r="10" spans="1:122" ht="30" customHeight="1" x14ac:dyDescent="0.25">
      <c r="A10" s="27"/>
      <c r="B10" s="28" t="s">
        <v>228</v>
      </c>
      <c r="C10" s="29">
        <v>4</v>
      </c>
      <c r="D10" s="30">
        <v>6930.7027992852891</v>
      </c>
      <c r="E10" s="29">
        <v>5037</v>
      </c>
      <c r="F10" s="29">
        <v>34909950</v>
      </c>
      <c r="G10" s="29">
        <v>16961620.000000004</v>
      </c>
      <c r="H10" s="29"/>
      <c r="I10" s="29"/>
      <c r="J10" s="29"/>
      <c r="K10" s="29"/>
      <c r="L10" s="29"/>
      <c r="M10" s="29">
        <v>5</v>
      </c>
      <c r="N10" s="30">
        <v>6972.0171094101752</v>
      </c>
      <c r="O10" s="29">
        <v>6663</v>
      </c>
      <c r="P10" s="29">
        <v>46454550</v>
      </c>
      <c r="Q10" s="29">
        <v>28976593.333333336</v>
      </c>
      <c r="R10" s="29"/>
      <c r="S10" s="29"/>
      <c r="T10" s="29"/>
      <c r="U10" s="29"/>
      <c r="V10" s="29"/>
      <c r="W10" s="29">
        <v>6</v>
      </c>
      <c r="X10" s="30">
        <v>6997.1226927252983</v>
      </c>
      <c r="Y10" s="29">
        <v>8289</v>
      </c>
      <c r="Z10" s="29">
        <v>57999150</v>
      </c>
      <c r="AA10" s="31">
        <v>30319144.583333336</v>
      </c>
      <c r="AB10" s="29"/>
      <c r="AC10" s="29"/>
      <c r="AD10" s="29"/>
      <c r="AE10" s="29"/>
      <c r="AF10" s="29"/>
      <c r="AG10" s="29">
        <v>6</v>
      </c>
      <c r="AH10" s="30">
        <v>6975.0769230769229</v>
      </c>
      <c r="AI10" s="29">
        <v>7800</v>
      </c>
      <c r="AJ10" s="29">
        <v>54405600</v>
      </c>
      <c r="AK10" s="29">
        <v>35066633.333333336</v>
      </c>
      <c r="AL10" s="29"/>
      <c r="AM10" s="29"/>
      <c r="AN10" s="29"/>
      <c r="AO10" s="29"/>
      <c r="AP10" s="29"/>
      <c r="AQ10" s="29">
        <v>6</v>
      </c>
      <c r="AR10" s="30">
        <v>7070.0033771661347</v>
      </c>
      <c r="AS10" s="29">
        <v>8527.86</v>
      </c>
      <c r="AT10" s="29">
        <v>60291999</v>
      </c>
      <c r="AU10" s="29">
        <v>38100332.033333339</v>
      </c>
      <c r="AV10" s="29"/>
      <c r="AW10" s="29"/>
      <c r="AX10" s="29"/>
      <c r="AY10" s="29"/>
      <c r="AZ10" s="29"/>
      <c r="BA10" s="29">
        <v>8</v>
      </c>
      <c r="BB10" s="30">
        <v>7020.0306538665973</v>
      </c>
      <c r="BC10" s="29">
        <v>10497.86</v>
      </c>
      <c r="BD10" s="29">
        <v>73695299</v>
      </c>
      <c r="BE10" s="29">
        <v>43586716.908333339</v>
      </c>
      <c r="BF10" s="29"/>
      <c r="BG10" s="29"/>
      <c r="BH10" s="29"/>
      <c r="BI10" s="29"/>
      <c r="BJ10" s="29"/>
      <c r="BK10" s="29">
        <v>13</v>
      </c>
      <c r="BL10" s="29">
        <v>7039.2532139512623</v>
      </c>
      <c r="BM10" s="29">
        <v>16252.58</v>
      </c>
      <c r="BN10" s="29">
        <v>114406026</v>
      </c>
      <c r="BO10" s="29">
        <v>57539866.983333334</v>
      </c>
      <c r="BP10" s="29"/>
      <c r="BQ10" s="29"/>
      <c r="BR10" s="29"/>
      <c r="BS10" s="29"/>
      <c r="BT10" s="29"/>
      <c r="BU10" s="29">
        <v>9</v>
      </c>
      <c r="BV10" s="29">
        <v>7106.6327686956183</v>
      </c>
      <c r="BW10" s="29">
        <v>12177.72</v>
      </c>
      <c r="BX10" s="29">
        <v>86542584</v>
      </c>
      <c r="BY10" s="29">
        <v>65761914.808333337</v>
      </c>
      <c r="BZ10" s="29"/>
      <c r="CA10" s="29"/>
      <c r="CB10" s="29"/>
      <c r="CC10" s="29"/>
      <c r="CD10" s="29"/>
      <c r="CE10" s="29">
        <v>8</v>
      </c>
      <c r="CF10" s="29">
        <v>7094.2128768142911</v>
      </c>
      <c r="CG10" s="29">
        <v>10748</v>
      </c>
      <c r="CH10" s="29">
        <v>76248600</v>
      </c>
      <c r="CI10" s="31">
        <v>71330048.75833334</v>
      </c>
      <c r="CJ10" s="29"/>
      <c r="CK10" s="29"/>
      <c r="CL10" s="29"/>
      <c r="CM10" s="29"/>
      <c r="CN10" s="29"/>
      <c r="CO10" s="29">
        <v>7</v>
      </c>
      <c r="CP10" s="29">
        <v>7159.4237534414196</v>
      </c>
      <c r="CQ10" s="29">
        <v>9414.7199999999993</v>
      </c>
      <c r="CR10" s="29">
        <v>67403970</v>
      </c>
      <c r="CS10" s="29">
        <v>75970713.683333322</v>
      </c>
      <c r="CT10" s="29"/>
      <c r="CU10" s="29"/>
      <c r="CV10" s="29"/>
      <c r="CW10" s="29"/>
      <c r="CX10" s="29"/>
      <c r="CY10" s="29">
        <v>6</v>
      </c>
      <c r="CZ10" s="29">
        <v>7099.4011809490512</v>
      </c>
      <c r="DA10" s="29">
        <v>7549.86</v>
      </c>
      <c r="DB10" s="29">
        <v>53599485</v>
      </c>
      <c r="DC10" s="29">
        <v>84700860.683333322</v>
      </c>
      <c r="DD10" s="29"/>
      <c r="DE10" s="29"/>
      <c r="DF10" s="29"/>
      <c r="DG10" s="29"/>
      <c r="DH10" s="29"/>
      <c r="DI10" s="29">
        <v>9</v>
      </c>
      <c r="DJ10" s="29">
        <v>7101.0462136654942</v>
      </c>
      <c r="DK10" s="29">
        <v>11449.86</v>
      </c>
      <c r="DL10" s="29">
        <v>81305985</v>
      </c>
      <c r="DM10" s="32">
        <v>97188189.908333346</v>
      </c>
      <c r="DN10" s="29"/>
      <c r="DO10" s="29"/>
      <c r="DP10" s="29"/>
      <c r="DQ10" s="29"/>
      <c r="DR10" s="29"/>
    </row>
    <row r="11" spans="1:122" ht="30" customHeight="1" x14ac:dyDescent="0.25">
      <c r="A11" s="27"/>
      <c r="B11" s="28" t="s">
        <v>229</v>
      </c>
      <c r="C11" s="29">
        <v>8</v>
      </c>
      <c r="D11" s="30">
        <v>5812.5</v>
      </c>
      <c r="E11" s="29">
        <v>7864</v>
      </c>
      <c r="F11" s="29">
        <v>45709500</v>
      </c>
      <c r="G11" s="29">
        <v>45789116.666666664</v>
      </c>
      <c r="H11" s="29"/>
      <c r="I11" s="29"/>
      <c r="J11" s="29"/>
      <c r="K11" s="29"/>
      <c r="L11" s="29"/>
      <c r="M11" s="29">
        <v>6</v>
      </c>
      <c r="N11" s="30">
        <v>5900</v>
      </c>
      <c r="O11" s="29">
        <v>5898</v>
      </c>
      <c r="P11" s="29">
        <v>34798200</v>
      </c>
      <c r="Q11" s="29">
        <v>53412176.666666664</v>
      </c>
      <c r="R11" s="29"/>
      <c r="S11" s="29"/>
      <c r="T11" s="29"/>
      <c r="U11" s="29"/>
      <c r="V11" s="29"/>
      <c r="W11" s="29">
        <v>5</v>
      </c>
      <c r="X11" s="30">
        <v>6000</v>
      </c>
      <c r="Y11" s="29">
        <v>4915</v>
      </c>
      <c r="Z11" s="29">
        <v>29490000</v>
      </c>
      <c r="AA11" s="31">
        <v>56017126.666666672</v>
      </c>
      <c r="AB11" s="29"/>
      <c r="AC11" s="29"/>
      <c r="AD11" s="29"/>
      <c r="AE11" s="29"/>
      <c r="AF11" s="29"/>
      <c r="AG11" s="29">
        <v>5</v>
      </c>
      <c r="AH11" s="30">
        <v>5930</v>
      </c>
      <c r="AI11" s="29">
        <v>4915</v>
      </c>
      <c r="AJ11" s="29">
        <v>29145950</v>
      </c>
      <c r="AK11" s="29">
        <v>24016797.5</v>
      </c>
      <c r="AL11" s="29"/>
      <c r="AM11" s="29"/>
      <c r="AN11" s="29"/>
      <c r="AO11" s="29"/>
      <c r="AP11" s="29"/>
      <c r="AQ11" s="29">
        <v>6</v>
      </c>
      <c r="AR11" s="30">
        <v>5825</v>
      </c>
      <c r="AS11" s="29">
        <v>5898</v>
      </c>
      <c r="AT11" s="29">
        <v>34355850</v>
      </c>
      <c r="AU11" s="29">
        <v>28344455</v>
      </c>
      <c r="AV11" s="29"/>
      <c r="AW11" s="29"/>
      <c r="AX11" s="29"/>
      <c r="AY11" s="29"/>
      <c r="AZ11" s="29"/>
      <c r="BA11" s="29">
        <v>7</v>
      </c>
      <c r="BB11" s="30">
        <v>5878.5714285714284</v>
      </c>
      <c r="BC11" s="29">
        <v>6881</v>
      </c>
      <c r="BD11" s="29">
        <v>40450450</v>
      </c>
      <c r="BE11" s="29">
        <v>32888372.499999996</v>
      </c>
      <c r="BF11" s="29"/>
      <c r="BG11" s="29"/>
      <c r="BH11" s="29"/>
      <c r="BI11" s="29"/>
      <c r="BJ11" s="29"/>
      <c r="BK11" s="29">
        <v>0</v>
      </c>
      <c r="BL11" s="29">
        <v>0</v>
      </c>
      <c r="BM11" s="29">
        <v>0</v>
      </c>
      <c r="BN11" s="29">
        <v>0</v>
      </c>
      <c r="BO11" s="29">
        <v>50518910</v>
      </c>
      <c r="BP11" s="29"/>
      <c r="BQ11" s="29"/>
      <c r="BR11" s="29"/>
      <c r="BS11" s="29"/>
      <c r="BT11" s="29"/>
      <c r="BU11" s="29">
        <v>0</v>
      </c>
      <c r="BV11" s="29">
        <v>0</v>
      </c>
      <c r="BW11" s="29">
        <v>0</v>
      </c>
      <c r="BX11" s="29">
        <v>0</v>
      </c>
      <c r="BY11" s="29">
        <v>55605935</v>
      </c>
      <c r="BZ11" s="29"/>
      <c r="CA11" s="29"/>
      <c r="CB11" s="29"/>
      <c r="CC11" s="29"/>
      <c r="CD11" s="29"/>
      <c r="CE11" s="29">
        <v>0</v>
      </c>
      <c r="CF11" s="29">
        <v>0</v>
      </c>
      <c r="CG11" s="29">
        <v>0</v>
      </c>
      <c r="CH11" s="29">
        <v>0</v>
      </c>
      <c r="CI11" s="31">
        <v>52779810</v>
      </c>
      <c r="CJ11" s="29"/>
      <c r="CK11" s="29"/>
      <c r="CL11" s="29"/>
      <c r="CM11" s="29"/>
      <c r="CN11" s="29"/>
      <c r="CO11" s="29">
        <v>0</v>
      </c>
      <c r="CP11" s="29">
        <v>0</v>
      </c>
      <c r="CQ11" s="29">
        <v>0</v>
      </c>
      <c r="CR11" s="29">
        <v>0</v>
      </c>
      <c r="CS11" s="29">
        <v>46235487.5</v>
      </c>
      <c r="CT11" s="29"/>
      <c r="CU11" s="29"/>
      <c r="CV11" s="29"/>
      <c r="CW11" s="29"/>
      <c r="CX11" s="29"/>
      <c r="CY11" s="29">
        <v>0</v>
      </c>
      <c r="CZ11" s="29">
        <v>0</v>
      </c>
      <c r="DA11" s="29">
        <v>0</v>
      </c>
      <c r="DB11" s="29">
        <v>0</v>
      </c>
      <c r="DC11" s="29">
        <v>35955765</v>
      </c>
      <c r="DD11" s="29"/>
      <c r="DE11" s="29"/>
      <c r="DF11" s="29"/>
      <c r="DG11" s="29"/>
      <c r="DH11" s="29"/>
      <c r="DI11" s="29">
        <v>0</v>
      </c>
      <c r="DJ11" s="29">
        <v>0</v>
      </c>
      <c r="DK11" s="29">
        <v>0</v>
      </c>
      <c r="DL11" s="29">
        <v>0</v>
      </c>
      <c r="DM11" s="32">
        <v>46235487.5</v>
      </c>
      <c r="DN11" s="29"/>
      <c r="DO11" s="29"/>
      <c r="DP11" s="29"/>
      <c r="DQ11" s="29"/>
      <c r="DR11" s="29"/>
    </row>
    <row r="12" spans="1:122" ht="30" customHeight="1" x14ac:dyDescent="0.25">
      <c r="A12" s="33"/>
      <c r="B12" s="28" t="s">
        <v>230</v>
      </c>
      <c r="C12" s="34">
        <v>18</v>
      </c>
      <c r="D12" s="30">
        <v>5916.7871834166799</v>
      </c>
      <c r="E12" s="34">
        <v>24796</v>
      </c>
      <c r="F12" s="34">
        <v>146712655</v>
      </c>
      <c r="G12" s="34">
        <v>51534025.25</v>
      </c>
      <c r="H12" s="34"/>
      <c r="I12" s="34"/>
      <c r="J12" s="34"/>
      <c r="K12" s="34"/>
      <c r="L12" s="34"/>
      <c r="M12" s="34">
        <v>8</v>
      </c>
      <c r="N12" s="30">
        <v>5924.7482104211749</v>
      </c>
      <c r="O12" s="34">
        <v>12014</v>
      </c>
      <c r="P12" s="34">
        <v>71179925</v>
      </c>
      <c r="Q12" s="34">
        <v>64306080.416666672</v>
      </c>
      <c r="R12" s="34"/>
      <c r="S12" s="34"/>
      <c r="T12" s="34"/>
      <c r="U12" s="34"/>
      <c r="V12" s="34"/>
      <c r="W12" s="34">
        <v>12</v>
      </c>
      <c r="X12" s="30">
        <v>5914.7008652657605</v>
      </c>
      <c r="Y12" s="34">
        <v>16180</v>
      </c>
      <c r="Z12" s="34">
        <v>95699860</v>
      </c>
      <c r="AA12" s="35">
        <v>58490495.833333328</v>
      </c>
      <c r="AB12" s="34"/>
      <c r="AC12" s="34"/>
      <c r="AD12" s="34"/>
      <c r="AE12" s="34"/>
      <c r="AF12" s="34"/>
      <c r="AG12" s="34">
        <v>12</v>
      </c>
      <c r="AH12" s="30">
        <v>5991.3003708281831</v>
      </c>
      <c r="AI12" s="34">
        <v>16180</v>
      </c>
      <c r="AJ12" s="34">
        <v>96939240</v>
      </c>
      <c r="AK12" s="34">
        <v>69999877</v>
      </c>
      <c r="AL12" s="34"/>
      <c r="AM12" s="34"/>
      <c r="AN12" s="34"/>
      <c r="AO12" s="34"/>
      <c r="AP12" s="34"/>
      <c r="AQ12" s="34">
        <v>22</v>
      </c>
      <c r="AR12" s="30">
        <v>5993.8736072423399</v>
      </c>
      <c r="AS12" s="34">
        <v>31592</v>
      </c>
      <c r="AT12" s="34">
        <v>189358455</v>
      </c>
      <c r="AU12" s="34">
        <v>88069614.083333343</v>
      </c>
      <c r="AV12" s="34"/>
      <c r="AW12" s="34"/>
      <c r="AX12" s="34"/>
      <c r="AY12" s="34"/>
      <c r="AZ12" s="34"/>
      <c r="BA12" s="34">
        <v>22</v>
      </c>
      <c r="BB12" s="30">
        <v>5993.8736072423399</v>
      </c>
      <c r="BC12" s="34">
        <v>31592</v>
      </c>
      <c r="BD12" s="34">
        <v>189358455</v>
      </c>
      <c r="BE12" s="34">
        <v>99669826.833333343</v>
      </c>
      <c r="BF12" s="34"/>
      <c r="BG12" s="34"/>
      <c r="BH12" s="34"/>
      <c r="BI12" s="34"/>
      <c r="BJ12" s="34"/>
      <c r="BK12" s="34">
        <v>22</v>
      </c>
      <c r="BL12" s="30">
        <v>6177.3450074035927</v>
      </c>
      <c r="BM12" s="34">
        <v>31066</v>
      </c>
      <c r="BN12" s="34">
        <v>191905400</v>
      </c>
      <c r="BO12" s="34">
        <v>118733019.58333336</v>
      </c>
      <c r="BP12" s="34"/>
      <c r="BQ12" s="34"/>
      <c r="BR12" s="34"/>
      <c r="BS12" s="34"/>
      <c r="BT12" s="34"/>
      <c r="BU12" s="34">
        <v>12</v>
      </c>
      <c r="BV12" s="30">
        <v>6179.5786908077998</v>
      </c>
      <c r="BW12" s="34">
        <v>17232</v>
      </c>
      <c r="BX12" s="34">
        <v>106486500</v>
      </c>
      <c r="BY12" s="34">
        <v>130093618.33333333</v>
      </c>
      <c r="BZ12" s="34"/>
      <c r="CA12" s="34"/>
      <c r="CB12" s="34"/>
      <c r="CC12" s="34"/>
      <c r="CD12" s="34"/>
      <c r="CE12" s="34">
        <v>14</v>
      </c>
      <c r="CF12" s="30">
        <v>6176.0343242414956</v>
      </c>
      <c r="CG12" s="34">
        <v>19578</v>
      </c>
      <c r="CH12" s="34">
        <v>120914400</v>
      </c>
      <c r="CI12" s="35">
        <v>146555680.83333331</v>
      </c>
      <c r="CJ12" s="34"/>
      <c r="CK12" s="34"/>
      <c r="CL12" s="34"/>
      <c r="CM12" s="34"/>
      <c r="CN12" s="34"/>
      <c r="CO12" s="34">
        <v>13</v>
      </c>
      <c r="CP12" s="30">
        <v>6177.6935615321927</v>
      </c>
      <c r="CQ12" s="34">
        <v>18405</v>
      </c>
      <c r="CR12" s="34">
        <v>113700450</v>
      </c>
      <c r="CS12" s="34">
        <v>172679908.5</v>
      </c>
      <c r="CT12" s="34"/>
      <c r="CU12" s="34"/>
      <c r="CV12" s="34"/>
      <c r="CW12" s="34"/>
      <c r="CX12" s="34"/>
      <c r="CY12" s="34">
        <v>13</v>
      </c>
      <c r="CZ12" s="30">
        <v>6190.9592389509153</v>
      </c>
      <c r="DA12" s="34">
        <v>45411</v>
      </c>
      <c r="DB12" s="34">
        <v>281137650</v>
      </c>
      <c r="DC12" s="34">
        <v>172550231.75</v>
      </c>
      <c r="DD12" s="34"/>
      <c r="DE12" s="34"/>
      <c r="DF12" s="34"/>
      <c r="DG12" s="34"/>
      <c r="DH12" s="34"/>
      <c r="DI12" s="34">
        <v>12</v>
      </c>
      <c r="DJ12" s="30">
        <v>6175.4249970070632</v>
      </c>
      <c r="DK12" s="34">
        <v>16706</v>
      </c>
      <c r="DL12" s="34">
        <v>103166650</v>
      </c>
      <c r="DM12" s="34">
        <v>192506199.25</v>
      </c>
      <c r="DN12" s="34"/>
      <c r="DO12" s="34"/>
      <c r="DP12" s="34"/>
      <c r="DQ12" s="34"/>
      <c r="DR12" s="34"/>
    </row>
    <row r="13" spans="1:122" ht="30" customHeight="1" x14ac:dyDescent="0.25">
      <c r="A13" s="27"/>
      <c r="B13" s="28" t="s">
        <v>231</v>
      </c>
      <c r="C13" s="29">
        <v>1</v>
      </c>
      <c r="D13" s="30">
        <v>8000</v>
      </c>
      <c r="E13" s="29">
        <v>14310</v>
      </c>
      <c r="F13" s="29">
        <v>114480000</v>
      </c>
      <c r="G13" s="29">
        <v>176979414.28571427</v>
      </c>
      <c r="H13" s="29"/>
      <c r="I13" s="29"/>
      <c r="J13" s="29"/>
      <c r="K13" s="29"/>
      <c r="L13" s="29"/>
      <c r="M13" s="29">
        <v>1</v>
      </c>
      <c r="N13" s="30">
        <v>8000</v>
      </c>
      <c r="O13" s="29">
        <v>10675</v>
      </c>
      <c r="P13" s="29">
        <v>85400000</v>
      </c>
      <c r="Q13" s="29">
        <v>219679414.28571427</v>
      </c>
      <c r="R13" s="29"/>
      <c r="S13" s="29"/>
      <c r="T13" s="29"/>
      <c r="U13" s="29"/>
      <c r="V13" s="29"/>
      <c r="W13" s="29">
        <v>2</v>
      </c>
      <c r="X13" s="30">
        <v>8388.6949667830195</v>
      </c>
      <c r="Y13" s="29">
        <v>17762</v>
      </c>
      <c r="Z13" s="29">
        <v>149000000</v>
      </c>
      <c r="AA13" s="31">
        <v>230035414.28571424</v>
      </c>
      <c r="AB13" s="29"/>
      <c r="AC13" s="29"/>
      <c r="AD13" s="29"/>
      <c r="AE13" s="29"/>
      <c r="AF13" s="29"/>
      <c r="AG13" s="29">
        <v>3</v>
      </c>
      <c r="AH13" s="30">
        <v>9288.059701492537</v>
      </c>
      <c r="AI13" s="29">
        <v>10720</v>
      </c>
      <c r="AJ13" s="29">
        <v>99568000</v>
      </c>
      <c r="AK13" s="29">
        <v>225037414.28571424</v>
      </c>
      <c r="AL13" s="29"/>
      <c r="AM13" s="29"/>
      <c r="AN13" s="29"/>
      <c r="AO13" s="29"/>
      <c r="AP13" s="29"/>
      <c r="AQ13" s="29">
        <v>3</v>
      </c>
      <c r="AR13" s="30">
        <v>8889.0033479268604</v>
      </c>
      <c r="AS13" s="29">
        <v>15532</v>
      </c>
      <c r="AT13" s="29">
        <v>138064000</v>
      </c>
      <c r="AU13" s="29">
        <v>226473414.28571427</v>
      </c>
      <c r="AV13" s="29"/>
      <c r="AW13" s="29"/>
      <c r="AX13" s="29"/>
      <c r="AY13" s="29"/>
      <c r="AZ13" s="29"/>
      <c r="BA13" s="29">
        <v>3</v>
      </c>
      <c r="BB13" s="30">
        <v>6389.3311560182347</v>
      </c>
      <c r="BC13" s="29">
        <v>14697</v>
      </c>
      <c r="BD13" s="29">
        <v>93904000</v>
      </c>
      <c r="BE13" s="29">
        <v>235723414.28571427</v>
      </c>
      <c r="BF13" s="29"/>
      <c r="BG13" s="29"/>
      <c r="BH13" s="29"/>
      <c r="BI13" s="29"/>
      <c r="BJ13" s="29"/>
      <c r="BK13" s="29">
        <v>3</v>
      </c>
      <c r="BL13" s="30">
        <v>8650.8909210898455</v>
      </c>
      <c r="BM13" s="29">
        <v>21214</v>
      </c>
      <c r="BN13" s="29">
        <v>183520000</v>
      </c>
      <c r="BO13" s="29">
        <v>258451414.28571427</v>
      </c>
      <c r="BP13" s="29"/>
      <c r="BQ13" s="29"/>
      <c r="BR13" s="29"/>
      <c r="BS13" s="29"/>
      <c r="BT13" s="29"/>
      <c r="BU13" s="29">
        <v>3</v>
      </c>
      <c r="BV13" s="30">
        <v>8889.0033479268604</v>
      </c>
      <c r="BW13" s="29">
        <v>15532</v>
      </c>
      <c r="BX13" s="29">
        <v>138064000</v>
      </c>
      <c r="BY13" s="29">
        <v>257317699.99999997</v>
      </c>
      <c r="BZ13" s="29"/>
      <c r="CA13" s="29"/>
      <c r="CB13" s="29"/>
      <c r="CC13" s="29"/>
      <c r="CD13" s="29"/>
      <c r="CE13" s="29">
        <v>2</v>
      </c>
      <c r="CF13" s="30">
        <v>10000</v>
      </c>
      <c r="CG13" s="29">
        <v>6904</v>
      </c>
      <c r="CH13" s="29">
        <v>69040000</v>
      </c>
      <c r="CI13" s="31">
        <v>200077699.99999997</v>
      </c>
      <c r="CJ13" s="29"/>
      <c r="CK13" s="29"/>
      <c r="CL13" s="29"/>
      <c r="CM13" s="29"/>
      <c r="CN13" s="29"/>
      <c r="CO13" s="29">
        <v>2</v>
      </c>
      <c r="CP13" s="30">
        <v>10000</v>
      </c>
      <c r="CQ13" s="29">
        <v>6904</v>
      </c>
      <c r="CR13" s="29">
        <v>69040000</v>
      </c>
      <c r="CS13" s="29">
        <v>165565699.99999997</v>
      </c>
      <c r="CT13" s="29"/>
      <c r="CU13" s="29"/>
      <c r="CV13" s="29"/>
      <c r="CW13" s="29"/>
      <c r="CX13" s="29"/>
      <c r="CY13" s="29">
        <v>2</v>
      </c>
      <c r="CZ13" s="30">
        <v>10000</v>
      </c>
      <c r="DA13" s="29">
        <v>6904</v>
      </c>
      <c r="DB13" s="29">
        <v>69040000</v>
      </c>
      <c r="DC13" s="29">
        <v>82848000</v>
      </c>
      <c r="DD13" s="29"/>
      <c r="DE13" s="29"/>
      <c r="DF13" s="29"/>
      <c r="DG13" s="29"/>
      <c r="DH13" s="29"/>
      <c r="DI13" s="29">
        <v>1</v>
      </c>
      <c r="DJ13" s="30">
        <v>10000</v>
      </c>
      <c r="DK13" s="29">
        <v>3452</v>
      </c>
      <c r="DL13" s="29">
        <v>34520000</v>
      </c>
      <c r="DM13" s="29">
        <v>75944000</v>
      </c>
      <c r="DN13" s="29"/>
      <c r="DO13" s="29"/>
      <c r="DP13" s="29"/>
      <c r="DQ13" s="29"/>
      <c r="DR13" s="29"/>
    </row>
    <row r="14" spans="1:122" ht="30" customHeight="1" x14ac:dyDescent="0.25">
      <c r="A14" s="27"/>
      <c r="B14" s="28" t="s">
        <v>232</v>
      </c>
      <c r="C14" s="29">
        <v>0</v>
      </c>
      <c r="D14" s="30" t="e">
        <v>#DIV/0!</v>
      </c>
      <c r="E14" s="29">
        <v>0</v>
      </c>
      <c r="F14" s="29">
        <v>0</v>
      </c>
      <c r="G14" s="29">
        <v>22380250</v>
      </c>
      <c r="H14" s="29"/>
      <c r="I14" s="29"/>
      <c r="J14" s="29"/>
      <c r="K14" s="29"/>
      <c r="L14" s="29"/>
      <c r="M14" s="29">
        <v>0</v>
      </c>
      <c r="N14" s="30" t="e">
        <v>#DIV/0!</v>
      </c>
      <c r="O14" s="29">
        <v>0</v>
      </c>
      <c r="P14" s="29">
        <v>0</v>
      </c>
      <c r="Q14" s="29">
        <v>22380250</v>
      </c>
      <c r="R14" s="29"/>
      <c r="S14" s="29"/>
      <c r="T14" s="29"/>
      <c r="U14" s="29"/>
      <c r="V14" s="29"/>
      <c r="W14" s="29">
        <v>0</v>
      </c>
      <c r="X14" s="30" t="e">
        <v>#DIV/0!</v>
      </c>
      <c r="Y14" s="29">
        <v>0</v>
      </c>
      <c r="Z14" s="29">
        <v>0</v>
      </c>
      <c r="AA14" s="31">
        <v>22380250</v>
      </c>
      <c r="AB14" s="29"/>
      <c r="AC14" s="29"/>
      <c r="AD14" s="29"/>
      <c r="AE14" s="29"/>
      <c r="AF14" s="29"/>
      <c r="AG14" s="29">
        <v>2</v>
      </c>
      <c r="AH14" s="30">
        <v>8000</v>
      </c>
      <c r="AI14" s="29">
        <v>960</v>
      </c>
      <c r="AJ14" s="29">
        <v>7680000</v>
      </c>
      <c r="AK14" s="29">
        <v>26220250</v>
      </c>
      <c r="AL14" s="29"/>
      <c r="AM14" s="29"/>
      <c r="AN14" s="29"/>
      <c r="AO14" s="29"/>
      <c r="AP14" s="29"/>
      <c r="AQ14" s="29">
        <v>2</v>
      </c>
      <c r="AR14" s="30">
        <v>8000</v>
      </c>
      <c r="AS14" s="29">
        <v>1074</v>
      </c>
      <c r="AT14" s="29">
        <v>8592000</v>
      </c>
      <c r="AU14" s="29">
        <v>8136000</v>
      </c>
      <c r="AV14" s="29"/>
      <c r="AW14" s="29"/>
      <c r="AX14" s="29"/>
      <c r="AY14" s="29"/>
      <c r="AZ14" s="29"/>
      <c r="BA14" s="29">
        <v>1</v>
      </c>
      <c r="BB14" s="30">
        <v>8000</v>
      </c>
      <c r="BC14" s="29">
        <v>5872</v>
      </c>
      <c r="BD14" s="29">
        <v>46976000</v>
      </c>
      <c r="BE14" s="29">
        <v>27783999.999999996</v>
      </c>
      <c r="BF14" s="29"/>
      <c r="BG14" s="29"/>
      <c r="BH14" s="29"/>
      <c r="BI14" s="29"/>
      <c r="BJ14" s="29"/>
      <c r="BK14" s="29">
        <v>0</v>
      </c>
      <c r="BL14" s="30" t="e">
        <v>#DIV/0!</v>
      </c>
      <c r="BM14" s="29">
        <v>0</v>
      </c>
      <c r="BN14" s="29">
        <v>0</v>
      </c>
      <c r="BO14" s="29">
        <v>23488000</v>
      </c>
      <c r="BP14" s="29"/>
      <c r="BQ14" s="29"/>
      <c r="BR14" s="29"/>
      <c r="BS14" s="29"/>
      <c r="BT14" s="29"/>
      <c r="BU14" s="29">
        <v>0</v>
      </c>
      <c r="BV14" s="29">
        <v>0</v>
      </c>
      <c r="BW14" s="29">
        <v>0</v>
      </c>
      <c r="BX14" s="29">
        <v>0</v>
      </c>
      <c r="BY14" s="29">
        <v>0</v>
      </c>
      <c r="BZ14" s="29"/>
      <c r="CA14" s="29"/>
      <c r="CB14" s="29"/>
      <c r="CC14" s="29"/>
      <c r="CD14" s="29"/>
      <c r="CE14" s="29">
        <v>0</v>
      </c>
      <c r="CF14" s="29">
        <v>0</v>
      </c>
      <c r="CG14" s="29">
        <v>0</v>
      </c>
      <c r="CH14" s="29">
        <v>0</v>
      </c>
      <c r="CI14" s="31">
        <v>0</v>
      </c>
      <c r="CJ14" s="29"/>
      <c r="CK14" s="29"/>
      <c r="CL14" s="29"/>
      <c r="CM14" s="29"/>
      <c r="CN14" s="29"/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/>
      <c r="CU14" s="29"/>
      <c r="CV14" s="29"/>
      <c r="CW14" s="29"/>
      <c r="CX14" s="29"/>
      <c r="CY14" s="29">
        <v>0</v>
      </c>
      <c r="CZ14" s="29">
        <v>0</v>
      </c>
      <c r="DA14" s="29">
        <v>0</v>
      </c>
      <c r="DB14" s="29">
        <v>0</v>
      </c>
      <c r="DC14" s="29">
        <v>0</v>
      </c>
      <c r="DD14" s="29"/>
      <c r="DE14" s="29"/>
      <c r="DF14" s="29"/>
      <c r="DG14" s="29"/>
      <c r="DH14" s="29"/>
      <c r="DI14" s="29">
        <v>0</v>
      </c>
      <c r="DJ14" s="29">
        <v>0</v>
      </c>
      <c r="DK14" s="29">
        <v>0</v>
      </c>
      <c r="DL14" s="29">
        <v>0</v>
      </c>
      <c r="DM14" s="29">
        <v>0</v>
      </c>
      <c r="DN14" s="29"/>
      <c r="DO14" s="29"/>
      <c r="DP14" s="29"/>
      <c r="DQ14" s="29"/>
      <c r="DR14" s="29"/>
    </row>
    <row r="15" spans="1:122" ht="30" customHeight="1" x14ac:dyDescent="0.25">
      <c r="A15" s="27"/>
      <c r="B15" s="28" t="s">
        <v>233</v>
      </c>
      <c r="C15" s="34">
        <v>1</v>
      </c>
      <c r="D15" s="30">
        <v>12000</v>
      </c>
      <c r="E15" s="34">
        <v>2150</v>
      </c>
      <c r="F15" s="34">
        <v>25800000</v>
      </c>
      <c r="G15" s="34">
        <v>16119500.000000002</v>
      </c>
      <c r="H15" s="34"/>
      <c r="I15" s="34"/>
      <c r="J15" s="34"/>
      <c r="K15" s="34"/>
      <c r="L15" s="34"/>
      <c r="M15" s="34">
        <v>2</v>
      </c>
      <c r="N15" s="30">
        <v>12000</v>
      </c>
      <c r="O15" s="34">
        <v>4681</v>
      </c>
      <c r="P15" s="34">
        <v>56172000</v>
      </c>
      <c r="Q15" s="34">
        <v>45546092.727272734</v>
      </c>
      <c r="R15" s="34"/>
      <c r="S15" s="34"/>
      <c r="T15" s="34"/>
      <c r="U15" s="34"/>
      <c r="V15" s="34"/>
      <c r="W15" s="34">
        <v>2</v>
      </c>
      <c r="X15" s="30">
        <v>12000</v>
      </c>
      <c r="Y15" s="34">
        <v>4681</v>
      </c>
      <c r="Z15" s="34">
        <v>56172000</v>
      </c>
      <c r="AA15" s="32">
        <v>41582187.272727273</v>
      </c>
      <c r="AB15" s="34"/>
      <c r="AC15" s="34"/>
      <c r="AD15" s="34"/>
      <c r="AE15" s="34"/>
      <c r="AF15" s="34"/>
      <c r="AG15" s="34">
        <v>2</v>
      </c>
      <c r="AH15" s="30">
        <v>12000</v>
      </c>
      <c r="AI15" s="34">
        <v>4681</v>
      </c>
      <c r="AJ15" s="34">
        <v>56172000</v>
      </c>
      <c r="AK15" s="34">
        <v>45150087.272727273</v>
      </c>
      <c r="AL15" s="34"/>
      <c r="AM15" s="34"/>
      <c r="AN15" s="34"/>
      <c r="AO15" s="34"/>
      <c r="AP15" s="34"/>
      <c r="AQ15" s="34">
        <v>2</v>
      </c>
      <c r="AR15" s="30">
        <v>12000</v>
      </c>
      <c r="AS15" s="34">
        <v>4681</v>
      </c>
      <c r="AT15" s="34">
        <v>56172000</v>
      </c>
      <c r="AU15" s="34">
        <v>59362987.272727273</v>
      </c>
      <c r="AV15" s="34"/>
      <c r="AW15" s="34"/>
      <c r="AX15" s="34"/>
      <c r="AY15" s="34"/>
      <c r="AZ15" s="34"/>
      <c r="BA15" s="34">
        <v>3</v>
      </c>
      <c r="BB15" s="30">
        <v>12000</v>
      </c>
      <c r="BC15" s="34">
        <v>7212</v>
      </c>
      <c r="BD15" s="34">
        <v>86544000</v>
      </c>
      <c r="BE15" s="34">
        <v>66498787.272727281</v>
      </c>
      <c r="BF15" s="34"/>
      <c r="BG15" s="34"/>
      <c r="BH15" s="34"/>
      <c r="BI15" s="34"/>
      <c r="BJ15" s="34"/>
      <c r="BK15" s="34">
        <v>3</v>
      </c>
      <c r="BL15" s="30">
        <v>12000</v>
      </c>
      <c r="BM15" s="34">
        <v>7212</v>
      </c>
      <c r="BN15" s="34">
        <v>86544000</v>
      </c>
      <c r="BO15" s="34">
        <v>72344587.272727281</v>
      </c>
      <c r="BP15" s="34"/>
      <c r="BQ15" s="34"/>
      <c r="BR15" s="34"/>
      <c r="BS15" s="34"/>
      <c r="BT15" s="34"/>
      <c r="BU15" s="34">
        <v>3</v>
      </c>
      <c r="BV15" s="30">
        <v>12000</v>
      </c>
      <c r="BW15" s="34">
        <v>7212</v>
      </c>
      <c r="BX15" s="34">
        <v>86544000</v>
      </c>
      <c r="BY15" s="34">
        <v>80998987.272727281</v>
      </c>
      <c r="BZ15" s="34"/>
      <c r="CA15" s="34"/>
      <c r="CB15" s="34"/>
      <c r="CC15" s="34"/>
      <c r="CD15" s="34"/>
      <c r="CE15" s="34">
        <v>4</v>
      </c>
      <c r="CF15" s="30">
        <v>12000</v>
      </c>
      <c r="CG15" s="34">
        <v>9362</v>
      </c>
      <c r="CH15" s="34">
        <v>112344000</v>
      </c>
      <c r="CI15" s="32">
        <v>91702687.272727281</v>
      </c>
      <c r="CJ15" s="34"/>
      <c r="CK15" s="34"/>
      <c r="CL15" s="34"/>
      <c r="CM15" s="34"/>
      <c r="CN15" s="34"/>
      <c r="CO15" s="34">
        <v>3</v>
      </c>
      <c r="CP15" s="30">
        <v>12000</v>
      </c>
      <c r="CQ15" s="34">
        <v>7212</v>
      </c>
      <c r="CR15" s="34">
        <v>86544000</v>
      </c>
      <c r="CS15" s="34">
        <v>101591487.27272727</v>
      </c>
      <c r="CT15" s="34"/>
      <c r="CU15" s="34"/>
      <c r="CV15" s="34"/>
      <c r="CW15" s="34"/>
      <c r="CX15" s="34"/>
      <c r="CY15" s="34">
        <v>3</v>
      </c>
      <c r="CZ15" s="30">
        <v>12000</v>
      </c>
      <c r="DA15" s="34">
        <v>7212</v>
      </c>
      <c r="DB15" s="34">
        <v>86544000</v>
      </c>
      <c r="DC15" s="34">
        <v>111005187.27272727</v>
      </c>
      <c r="DD15" s="34"/>
      <c r="DE15" s="34"/>
      <c r="DF15" s="34"/>
      <c r="DG15" s="34"/>
      <c r="DH15" s="34"/>
      <c r="DI15" s="34">
        <v>2</v>
      </c>
      <c r="DJ15" s="30">
        <v>12000</v>
      </c>
      <c r="DK15" s="34">
        <v>4681</v>
      </c>
      <c r="DL15" s="34">
        <v>56172000</v>
      </c>
      <c r="DM15" s="32">
        <v>126036087.27272728</v>
      </c>
      <c r="DN15" s="34"/>
      <c r="DO15" s="34"/>
      <c r="DP15" s="34"/>
      <c r="DQ15" s="34"/>
      <c r="DR15" s="34"/>
    </row>
    <row r="16" spans="1:122" ht="30" customHeight="1" x14ac:dyDescent="0.25">
      <c r="A16" s="27"/>
      <c r="B16" s="28" t="s">
        <v>234</v>
      </c>
      <c r="C16" s="34">
        <v>5</v>
      </c>
      <c r="D16" s="30">
        <v>10000</v>
      </c>
      <c r="E16" s="34">
        <v>10110.799999999999</v>
      </c>
      <c r="F16" s="34">
        <v>101107999.99999999</v>
      </c>
      <c r="G16" s="34">
        <v>20873340</v>
      </c>
      <c r="H16" s="34"/>
      <c r="I16" s="34"/>
      <c r="J16" s="34"/>
      <c r="K16" s="34"/>
      <c r="L16" s="34"/>
      <c r="M16" s="34">
        <v>7</v>
      </c>
      <c r="N16" s="30">
        <v>9793.1135414172077</v>
      </c>
      <c r="O16" s="34">
        <v>15032.399999999998</v>
      </c>
      <c r="P16" s="34">
        <v>147214000</v>
      </c>
      <c r="Q16" s="34">
        <v>48270387.515151523</v>
      </c>
      <c r="R16" s="34"/>
      <c r="S16" s="34"/>
      <c r="T16" s="34"/>
      <c r="U16" s="34"/>
      <c r="V16" s="34"/>
      <c r="W16" s="34">
        <v>6</v>
      </c>
      <c r="X16" s="30">
        <v>9772.7538434558955</v>
      </c>
      <c r="Y16" s="34">
        <v>13685.599999999999</v>
      </c>
      <c r="Z16" s="34">
        <v>133746000</v>
      </c>
      <c r="AA16" s="34">
        <v>59175804.848484859</v>
      </c>
      <c r="AB16" s="34"/>
      <c r="AC16" s="34"/>
      <c r="AD16" s="34"/>
      <c r="AE16" s="34"/>
      <c r="AF16" s="34"/>
      <c r="AG16" s="34">
        <v>6</v>
      </c>
      <c r="AH16" s="30">
        <v>10500</v>
      </c>
      <c r="AI16" s="34">
        <v>12650.4</v>
      </c>
      <c r="AJ16" s="34">
        <v>132829199.99999999</v>
      </c>
      <c r="AK16" s="34">
        <v>65817264.848484844</v>
      </c>
      <c r="AL16" s="34"/>
      <c r="AM16" s="34"/>
      <c r="AN16" s="34"/>
      <c r="AO16" s="34"/>
      <c r="AP16" s="34"/>
      <c r="AQ16" s="34">
        <v>6</v>
      </c>
      <c r="AR16" s="30">
        <v>10500</v>
      </c>
      <c r="AS16" s="34">
        <v>12650.4</v>
      </c>
      <c r="AT16" s="34">
        <v>132829199.99999999</v>
      </c>
      <c r="AU16" s="34">
        <v>72458724.848484844</v>
      </c>
      <c r="AV16" s="34"/>
      <c r="AW16" s="34"/>
      <c r="AX16" s="34"/>
      <c r="AY16" s="34"/>
      <c r="AZ16" s="34"/>
      <c r="BA16" s="34">
        <v>7</v>
      </c>
      <c r="BB16" s="30">
        <v>10293.113541417208</v>
      </c>
      <c r="BC16" s="34">
        <v>15032.399999999998</v>
      </c>
      <c r="BD16" s="34">
        <v>154730200</v>
      </c>
      <c r="BE16" s="34">
        <v>83515964.848484844</v>
      </c>
      <c r="BF16" s="34"/>
      <c r="BG16" s="34"/>
      <c r="BH16" s="34"/>
      <c r="BI16" s="34"/>
      <c r="BJ16" s="34"/>
      <c r="BK16" s="34">
        <v>7</v>
      </c>
      <c r="BL16" s="30">
        <v>12868.927146538112</v>
      </c>
      <c r="BM16" s="34">
        <v>19249.599999999999</v>
      </c>
      <c r="BN16" s="34">
        <v>247721700</v>
      </c>
      <c r="BO16" s="34">
        <v>110508929.84848483</v>
      </c>
      <c r="BP16" s="34"/>
      <c r="BQ16" s="34"/>
      <c r="BR16" s="34"/>
      <c r="BS16" s="34"/>
      <c r="BT16" s="34"/>
      <c r="BU16" s="34">
        <v>7</v>
      </c>
      <c r="BV16" s="30">
        <v>10602.002487246516</v>
      </c>
      <c r="BW16" s="34">
        <v>15760.4</v>
      </c>
      <c r="BX16" s="34">
        <v>167091800</v>
      </c>
      <c r="BY16" s="34">
        <v>137439632.34848484</v>
      </c>
      <c r="BZ16" s="34"/>
      <c r="CA16" s="34"/>
      <c r="CB16" s="34"/>
      <c r="CC16" s="34"/>
      <c r="CD16" s="34"/>
      <c r="CE16" s="34">
        <v>7</v>
      </c>
      <c r="CF16" s="30">
        <v>10594.835156062905</v>
      </c>
      <c r="CG16" s="34">
        <v>15032.399999999998</v>
      </c>
      <c r="CH16" s="34">
        <v>159265800</v>
      </c>
      <c r="CI16" s="34">
        <v>140276362.34848484</v>
      </c>
      <c r="CJ16" s="34"/>
      <c r="CK16" s="34"/>
      <c r="CL16" s="34"/>
      <c r="CM16" s="34"/>
      <c r="CN16" s="34"/>
      <c r="CO16" s="34">
        <v>8</v>
      </c>
      <c r="CP16" s="30">
        <v>12883.992046669542</v>
      </c>
      <c r="CQ16" s="34">
        <v>21324.400000000001</v>
      </c>
      <c r="CR16" s="34">
        <v>274743400</v>
      </c>
      <c r="CS16" s="34">
        <v>182751192.34848484</v>
      </c>
      <c r="CT16" s="34"/>
      <c r="CU16" s="34"/>
      <c r="CV16" s="34"/>
      <c r="CW16" s="34"/>
      <c r="CX16" s="34"/>
      <c r="CY16" s="34">
        <v>6</v>
      </c>
      <c r="CZ16" s="30">
        <v>10892.115779541546</v>
      </c>
      <c r="DA16" s="34">
        <v>14413.599999999999</v>
      </c>
      <c r="DB16" s="34">
        <v>156994600</v>
      </c>
      <c r="DC16" s="34">
        <v>198789812.34848487</v>
      </c>
      <c r="DD16" s="34"/>
      <c r="DE16" s="34"/>
      <c r="DF16" s="34"/>
      <c r="DG16" s="34"/>
      <c r="DH16" s="34"/>
      <c r="DI16" s="34">
        <v>8</v>
      </c>
      <c r="DJ16" s="30">
        <v>12883.992046669542</v>
      </c>
      <c r="DK16" s="34">
        <v>21324.400000000001</v>
      </c>
      <c r="DL16" s="34">
        <v>274743400</v>
      </c>
      <c r="DM16" s="34">
        <v>313225094.84848481</v>
      </c>
      <c r="DN16" s="34"/>
      <c r="DO16" s="34"/>
      <c r="DP16" s="34"/>
      <c r="DQ16" s="34"/>
      <c r="DR16" s="34"/>
    </row>
    <row r="17" spans="1:122" ht="30" customHeight="1" x14ac:dyDescent="0.25">
      <c r="A17" s="27"/>
      <c r="B17" s="28" t="s">
        <v>235</v>
      </c>
      <c r="C17" s="34">
        <v>4</v>
      </c>
      <c r="D17" s="30">
        <v>10500</v>
      </c>
      <c r="E17" s="34">
        <v>10809</v>
      </c>
      <c r="F17" s="34">
        <v>113494500</v>
      </c>
      <c r="G17" s="34">
        <v>42298641.666666672</v>
      </c>
      <c r="H17" s="34"/>
      <c r="I17" s="34"/>
      <c r="J17" s="34"/>
      <c r="K17" s="34"/>
      <c r="L17" s="34"/>
      <c r="M17" s="34">
        <v>4</v>
      </c>
      <c r="N17" s="30">
        <v>10500</v>
      </c>
      <c r="O17" s="34">
        <v>11546</v>
      </c>
      <c r="P17" s="34">
        <v>121233000</v>
      </c>
      <c r="Q17" s="34">
        <v>63296166.666666672</v>
      </c>
      <c r="R17" s="34"/>
      <c r="S17" s="34"/>
      <c r="T17" s="34"/>
      <c r="U17" s="34"/>
      <c r="V17" s="34"/>
      <c r="W17" s="34">
        <v>2</v>
      </c>
      <c r="X17" s="30">
        <v>10500</v>
      </c>
      <c r="Y17" s="34">
        <v>5036</v>
      </c>
      <c r="Z17" s="34">
        <v>52878000</v>
      </c>
      <c r="AA17" s="34">
        <v>85940066.666666672</v>
      </c>
      <c r="AB17" s="34"/>
      <c r="AC17" s="34"/>
      <c r="AD17" s="34"/>
      <c r="AE17" s="34"/>
      <c r="AF17" s="34"/>
      <c r="AG17" s="34">
        <v>3</v>
      </c>
      <c r="AH17" s="30">
        <v>11000</v>
      </c>
      <c r="AI17" s="34">
        <v>9633</v>
      </c>
      <c r="AJ17" s="34">
        <v>105963000</v>
      </c>
      <c r="AK17" s="34">
        <v>101238216.66666667</v>
      </c>
      <c r="AL17" s="34"/>
      <c r="AM17" s="34"/>
      <c r="AN17" s="34"/>
      <c r="AO17" s="34"/>
      <c r="AP17" s="34"/>
      <c r="AQ17" s="34">
        <v>3</v>
      </c>
      <c r="AR17" s="30">
        <v>11000</v>
      </c>
      <c r="AS17" s="34">
        <v>8291</v>
      </c>
      <c r="AT17" s="34">
        <v>91201000</v>
      </c>
      <c r="AU17" s="34">
        <v>112960904.16666669</v>
      </c>
      <c r="AV17" s="34"/>
      <c r="AW17" s="34"/>
      <c r="AX17" s="34"/>
      <c r="AY17" s="34"/>
      <c r="AZ17" s="34"/>
      <c r="BA17" s="34">
        <v>3</v>
      </c>
      <c r="BB17" s="30">
        <v>11000</v>
      </c>
      <c r="BC17" s="34">
        <v>9028</v>
      </c>
      <c r="BD17" s="34">
        <v>99308000</v>
      </c>
      <c r="BE17" s="34">
        <v>117926304.16666669</v>
      </c>
      <c r="BF17" s="34"/>
      <c r="BG17" s="34"/>
      <c r="BH17" s="34"/>
      <c r="BI17" s="34"/>
      <c r="BJ17" s="34"/>
      <c r="BK17" s="34">
        <v>3</v>
      </c>
      <c r="BL17" s="30">
        <v>11250</v>
      </c>
      <c r="BM17" s="34">
        <v>8291</v>
      </c>
      <c r="BN17" s="34">
        <v>93273750</v>
      </c>
      <c r="BO17" s="34">
        <v>122041866.66666669</v>
      </c>
      <c r="BP17" s="34"/>
      <c r="BQ17" s="34"/>
      <c r="BR17" s="34"/>
      <c r="BS17" s="34"/>
      <c r="BT17" s="34"/>
      <c r="BU17" s="34">
        <v>5</v>
      </c>
      <c r="BV17" s="30">
        <v>11250</v>
      </c>
      <c r="BW17" s="34">
        <v>15406</v>
      </c>
      <c r="BX17" s="34">
        <v>173317500</v>
      </c>
      <c r="BY17" s="34">
        <v>128225041.66666667</v>
      </c>
      <c r="BZ17" s="34"/>
      <c r="CA17" s="34"/>
      <c r="CB17" s="34"/>
      <c r="CC17" s="34"/>
      <c r="CD17" s="34"/>
      <c r="CE17" s="34">
        <v>4</v>
      </c>
      <c r="CF17" s="30">
        <v>11250</v>
      </c>
      <c r="CG17" s="34">
        <v>12888</v>
      </c>
      <c r="CH17" s="34">
        <v>144990000</v>
      </c>
      <c r="CI17" s="34">
        <v>148741885.41666669</v>
      </c>
      <c r="CJ17" s="34"/>
      <c r="CK17" s="34"/>
      <c r="CL17" s="34"/>
      <c r="CM17" s="34"/>
      <c r="CN17" s="34"/>
      <c r="CO17" s="34">
        <v>4</v>
      </c>
      <c r="CP17" s="30">
        <v>11500</v>
      </c>
      <c r="CQ17" s="34">
        <v>11546</v>
      </c>
      <c r="CR17" s="34">
        <v>132779000</v>
      </c>
      <c r="CS17" s="34">
        <v>196497897.91666666</v>
      </c>
      <c r="CT17" s="34"/>
      <c r="CU17" s="34"/>
      <c r="CV17" s="34"/>
      <c r="CW17" s="34"/>
      <c r="CX17" s="34"/>
      <c r="CY17" s="34">
        <v>4</v>
      </c>
      <c r="CZ17" s="30">
        <v>11500</v>
      </c>
      <c r="DA17" s="34">
        <v>11546</v>
      </c>
      <c r="DB17" s="34">
        <v>132779000</v>
      </c>
      <c r="DC17" s="34">
        <v>223084829.16666666</v>
      </c>
      <c r="DD17" s="34"/>
      <c r="DE17" s="34"/>
      <c r="DF17" s="34"/>
      <c r="DG17" s="34"/>
      <c r="DH17" s="34"/>
      <c r="DI17" s="34">
        <v>3</v>
      </c>
      <c r="DJ17" s="30">
        <v>11500</v>
      </c>
      <c r="DK17" s="34">
        <v>8291</v>
      </c>
      <c r="DL17" s="34">
        <v>95346500</v>
      </c>
      <c r="DM17" s="34">
        <v>239258429.16666669</v>
      </c>
      <c r="DN17" s="34"/>
      <c r="DO17" s="34"/>
      <c r="DP17" s="34"/>
      <c r="DQ17" s="34"/>
      <c r="DR17" s="34"/>
    </row>
    <row r="18" spans="1:122" ht="30" customHeight="1" x14ac:dyDescent="0.25">
      <c r="A18" s="27"/>
      <c r="B18" s="28" t="s">
        <v>236</v>
      </c>
      <c r="C18" s="34">
        <v>1</v>
      </c>
      <c r="D18" s="30">
        <v>10200</v>
      </c>
      <c r="E18" s="34">
        <v>3642</v>
      </c>
      <c r="F18" s="34">
        <v>37148400</v>
      </c>
      <c r="G18" s="34">
        <v>19832853.333333332</v>
      </c>
      <c r="H18" s="34"/>
      <c r="I18" s="34"/>
      <c r="J18" s="34"/>
      <c r="K18" s="34"/>
      <c r="L18" s="34"/>
      <c r="M18" s="34">
        <v>1</v>
      </c>
      <c r="N18" s="30">
        <v>10200</v>
      </c>
      <c r="O18" s="34">
        <v>3642</v>
      </c>
      <c r="P18" s="34">
        <v>37148400</v>
      </c>
      <c r="Q18" s="34">
        <v>19832853.333333332</v>
      </c>
      <c r="R18" s="34"/>
      <c r="S18" s="34"/>
      <c r="T18" s="34"/>
      <c r="U18" s="34"/>
      <c r="V18" s="34"/>
      <c r="W18" s="34">
        <v>1</v>
      </c>
      <c r="X18" s="30">
        <v>10200</v>
      </c>
      <c r="Y18" s="34">
        <v>3642</v>
      </c>
      <c r="Z18" s="34">
        <v>37148400</v>
      </c>
      <c r="AA18" s="32">
        <v>23547693.333333332</v>
      </c>
      <c r="AB18" s="34"/>
      <c r="AC18" s="34"/>
      <c r="AD18" s="34"/>
      <c r="AE18" s="34"/>
      <c r="AF18" s="34"/>
      <c r="AG18" s="34">
        <v>2</v>
      </c>
      <c r="AH18" s="30">
        <v>10200</v>
      </c>
      <c r="AI18" s="34">
        <v>7284</v>
      </c>
      <c r="AJ18" s="34">
        <v>74296800</v>
      </c>
      <c r="AK18" s="34">
        <v>27262533.333333336</v>
      </c>
      <c r="AL18" s="34"/>
      <c r="AM18" s="34"/>
      <c r="AN18" s="34"/>
      <c r="AO18" s="34"/>
      <c r="AP18" s="34"/>
      <c r="AQ18" s="34">
        <v>2</v>
      </c>
      <c r="AR18" s="30">
        <v>10200</v>
      </c>
      <c r="AS18" s="34">
        <v>7284</v>
      </c>
      <c r="AT18" s="34">
        <v>74296800</v>
      </c>
      <c r="AU18" s="34">
        <v>30977373.333333332</v>
      </c>
      <c r="AV18" s="34"/>
      <c r="AW18" s="34"/>
      <c r="AX18" s="34"/>
      <c r="AY18" s="34"/>
      <c r="AZ18" s="34"/>
      <c r="BA18" s="34">
        <v>2</v>
      </c>
      <c r="BB18" s="30">
        <v>10200</v>
      </c>
      <c r="BC18" s="34">
        <v>7284</v>
      </c>
      <c r="BD18" s="34">
        <v>74296800</v>
      </c>
      <c r="BE18" s="34">
        <v>36549633.333333336</v>
      </c>
      <c r="BF18" s="34"/>
      <c r="BG18" s="34"/>
      <c r="BH18" s="34"/>
      <c r="BI18" s="34"/>
      <c r="BJ18" s="34"/>
      <c r="BK18" s="34">
        <v>2</v>
      </c>
      <c r="BL18" s="30">
        <v>10200</v>
      </c>
      <c r="BM18" s="34">
        <v>7284</v>
      </c>
      <c r="BN18" s="34">
        <v>74296800</v>
      </c>
      <c r="BO18" s="34">
        <v>43979313.333333336</v>
      </c>
      <c r="BP18" s="34"/>
      <c r="BQ18" s="34"/>
      <c r="BR18" s="34"/>
      <c r="BS18" s="34"/>
      <c r="BT18" s="34"/>
      <c r="BU18" s="34">
        <v>2</v>
      </c>
      <c r="BV18" s="30">
        <v>10200</v>
      </c>
      <c r="BW18" s="34">
        <v>7284</v>
      </c>
      <c r="BX18" s="34">
        <v>74296800</v>
      </c>
      <c r="BY18" s="34">
        <v>49551573.333333343</v>
      </c>
      <c r="BZ18" s="34"/>
      <c r="CA18" s="34"/>
      <c r="CB18" s="34"/>
      <c r="CC18" s="34"/>
      <c r="CD18" s="34"/>
      <c r="CE18" s="34">
        <v>2</v>
      </c>
      <c r="CF18" s="30">
        <v>10200</v>
      </c>
      <c r="CG18" s="34">
        <v>7284</v>
      </c>
      <c r="CH18" s="34">
        <v>74296800</v>
      </c>
      <c r="CI18" s="32">
        <v>62553513.333333343</v>
      </c>
      <c r="CJ18" s="34"/>
      <c r="CK18" s="34"/>
      <c r="CL18" s="34"/>
      <c r="CM18" s="34"/>
      <c r="CN18" s="34"/>
      <c r="CO18" s="34">
        <v>3</v>
      </c>
      <c r="CP18" s="30">
        <v>10200</v>
      </c>
      <c r="CQ18" s="34">
        <v>10926</v>
      </c>
      <c r="CR18" s="34">
        <v>111445200</v>
      </c>
      <c r="CS18" s="34">
        <v>73698033.333333328</v>
      </c>
      <c r="CT18" s="34"/>
      <c r="CU18" s="34"/>
      <c r="CV18" s="34"/>
      <c r="CW18" s="34"/>
      <c r="CX18" s="34"/>
      <c r="CY18" s="34">
        <v>3</v>
      </c>
      <c r="CZ18" s="30">
        <v>10200</v>
      </c>
      <c r="DA18" s="34">
        <v>10926</v>
      </c>
      <c r="DB18" s="34">
        <v>111445200</v>
      </c>
      <c r="DC18" s="34">
        <v>88557393.333333328</v>
      </c>
      <c r="DD18" s="34"/>
      <c r="DE18" s="34"/>
      <c r="DF18" s="34"/>
      <c r="DG18" s="34"/>
      <c r="DH18" s="34"/>
      <c r="DI18" s="34">
        <v>3</v>
      </c>
      <c r="DJ18" s="30">
        <v>10200</v>
      </c>
      <c r="DK18" s="34">
        <v>10926</v>
      </c>
      <c r="DL18" s="34">
        <v>111445200</v>
      </c>
      <c r="DM18" s="32">
        <v>103416753.33333333</v>
      </c>
      <c r="DN18" s="34"/>
      <c r="DO18" s="34"/>
      <c r="DP18" s="34"/>
      <c r="DQ18" s="34"/>
      <c r="DR18" s="34"/>
    </row>
    <row r="19" spans="1:122" ht="30" customHeight="1" x14ac:dyDescent="0.25">
      <c r="A19" s="27"/>
      <c r="B19" s="28" t="s">
        <v>237</v>
      </c>
      <c r="C19" s="34"/>
      <c r="D19" s="30"/>
      <c r="E19" s="34"/>
      <c r="F19" s="34"/>
      <c r="G19" s="34">
        <v>2252000</v>
      </c>
      <c r="H19" s="34"/>
      <c r="I19" s="34"/>
      <c r="J19" s="34"/>
      <c r="K19" s="34"/>
      <c r="L19" s="34"/>
      <c r="M19" s="34"/>
      <c r="N19" s="30"/>
      <c r="O19" s="34"/>
      <c r="P19" s="34"/>
      <c r="Q19" s="34">
        <v>3788333.3333333302</v>
      </c>
      <c r="R19" s="34"/>
      <c r="S19" s="34"/>
      <c r="T19" s="34"/>
      <c r="U19" s="34"/>
      <c r="V19" s="34"/>
      <c r="W19" s="34"/>
      <c r="X19" s="30"/>
      <c r="Y19" s="34"/>
      <c r="Z19" s="34"/>
      <c r="AA19" s="32">
        <v>3788333.3333333302</v>
      </c>
      <c r="AB19" s="34"/>
      <c r="AC19" s="34"/>
      <c r="AD19" s="34"/>
      <c r="AE19" s="34"/>
      <c r="AF19" s="34"/>
      <c r="AG19" s="34"/>
      <c r="AH19" s="30"/>
      <c r="AI19" s="34"/>
      <c r="AJ19" s="34"/>
      <c r="AK19" s="34">
        <v>3788333.3333333302</v>
      </c>
      <c r="AL19" s="34"/>
      <c r="AM19" s="34"/>
      <c r="AN19" s="34"/>
      <c r="AO19" s="34"/>
      <c r="AP19" s="34"/>
      <c r="AQ19" s="34"/>
      <c r="AR19" s="30"/>
      <c r="AS19" s="34"/>
      <c r="AT19" s="34"/>
      <c r="AU19" s="34">
        <v>3788333.3333333302</v>
      </c>
      <c r="AV19" s="34"/>
      <c r="AW19" s="34"/>
      <c r="AX19" s="34"/>
      <c r="AY19" s="34"/>
      <c r="AZ19" s="34"/>
      <c r="BA19" s="34"/>
      <c r="BB19" s="30"/>
      <c r="BC19" s="34"/>
      <c r="BD19" s="34"/>
      <c r="BE19" s="34">
        <v>3788333.3333333302</v>
      </c>
      <c r="BF19" s="34"/>
      <c r="BG19" s="34"/>
      <c r="BH19" s="34"/>
      <c r="BI19" s="34"/>
      <c r="BJ19" s="34"/>
      <c r="BK19" s="34"/>
      <c r="BL19" s="30"/>
      <c r="BM19" s="34"/>
      <c r="BN19" s="34"/>
      <c r="BO19" s="34">
        <v>1536333.3333333307</v>
      </c>
      <c r="BP19" s="34"/>
      <c r="BQ19" s="34"/>
      <c r="BR19" s="34"/>
      <c r="BS19" s="34"/>
      <c r="BT19" s="34"/>
      <c r="BU19" s="34"/>
      <c r="BV19" s="30"/>
      <c r="BW19" s="34"/>
      <c r="BX19" s="34"/>
      <c r="BY19" s="34">
        <v>0</v>
      </c>
      <c r="BZ19" s="34"/>
      <c r="CA19" s="34"/>
      <c r="CB19" s="34"/>
      <c r="CC19" s="34"/>
      <c r="CD19" s="34"/>
      <c r="CE19" s="34"/>
      <c r="CF19" s="30"/>
      <c r="CG19" s="34"/>
      <c r="CH19" s="34"/>
      <c r="CI19" s="32">
        <v>0</v>
      </c>
      <c r="CJ19" s="34"/>
      <c r="CK19" s="34"/>
      <c r="CL19" s="34"/>
      <c r="CM19" s="34"/>
      <c r="CN19" s="34"/>
      <c r="CO19" s="34"/>
      <c r="CP19" s="30"/>
      <c r="CQ19" s="34"/>
      <c r="CR19" s="34"/>
      <c r="CS19" s="34">
        <v>0</v>
      </c>
      <c r="CT19" s="34"/>
      <c r="CU19" s="34"/>
      <c r="CV19" s="34"/>
      <c r="CW19" s="34"/>
      <c r="CX19" s="34"/>
      <c r="CY19" s="34"/>
      <c r="CZ19" s="30"/>
      <c r="DA19" s="34"/>
      <c r="DB19" s="34"/>
      <c r="DC19" s="34">
        <v>0</v>
      </c>
      <c r="DD19" s="34"/>
      <c r="DE19" s="34"/>
      <c r="DF19" s="34"/>
      <c r="DG19" s="34"/>
      <c r="DH19" s="34"/>
      <c r="DI19" s="34"/>
      <c r="DJ19" s="30"/>
      <c r="DK19" s="34"/>
      <c r="DL19" s="34"/>
      <c r="DM19" s="32">
        <v>0</v>
      </c>
      <c r="DN19" s="34"/>
      <c r="DO19" s="34"/>
      <c r="DP19" s="34"/>
      <c r="DQ19" s="34"/>
      <c r="DR19" s="34"/>
    </row>
    <row r="20" spans="1:122" ht="30" customHeight="1" x14ac:dyDescent="0.25">
      <c r="A20" s="27"/>
      <c r="B20" s="28" t="s">
        <v>238</v>
      </c>
      <c r="C20" s="34"/>
      <c r="D20" s="30"/>
      <c r="E20" s="34"/>
      <c r="F20" s="34"/>
      <c r="G20" s="34">
        <v>840000</v>
      </c>
      <c r="H20" s="34"/>
      <c r="I20" s="34"/>
      <c r="J20" s="34"/>
      <c r="K20" s="34"/>
      <c r="L20" s="34"/>
      <c r="M20" s="34"/>
      <c r="N20" s="30"/>
      <c r="O20" s="34"/>
      <c r="P20" s="34"/>
      <c r="Q20" s="34">
        <v>2738000.0000000019</v>
      </c>
      <c r="R20" s="34"/>
      <c r="S20" s="34"/>
      <c r="T20" s="34"/>
      <c r="U20" s="34"/>
      <c r="V20" s="34"/>
      <c r="W20" s="34"/>
      <c r="X20" s="30"/>
      <c r="Y20" s="34"/>
      <c r="Z20" s="34"/>
      <c r="AA20" s="32">
        <v>0</v>
      </c>
      <c r="AB20" s="34"/>
      <c r="AC20" s="34"/>
      <c r="AD20" s="34"/>
      <c r="AE20" s="34"/>
      <c r="AF20" s="34"/>
      <c r="AG20" s="34"/>
      <c r="AH20" s="30"/>
      <c r="AI20" s="34"/>
      <c r="AJ20" s="34"/>
      <c r="AK20" s="34">
        <v>0</v>
      </c>
      <c r="AL20" s="34"/>
      <c r="AM20" s="34"/>
      <c r="AN20" s="34"/>
      <c r="AO20" s="34"/>
      <c r="AP20" s="34"/>
      <c r="AQ20" s="34"/>
      <c r="AR20" s="30"/>
      <c r="AS20" s="34"/>
      <c r="AT20" s="34"/>
      <c r="AU20" s="34">
        <v>0</v>
      </c>
      <c r="AV20" s="34"/>
      <c r="AW20" s="34"/>
      <c r="AX20" s="34"/>
      <c r="AY20" s="34"/>
      <c r="AZ20" s="34"/>
      <c r="BA20" s="34"/>
      <c r="BB20" s="30"/>
      <c r="BC20" s="34"/>
      <c r="BD20" s="34"/>
      <c r="BE20" s="34">
        <v>0</v>
      </c>
      <c r="BF20" s="34"/>
      <c r="BG20" s="34"/>
      <c r="BH20" s="34"/>
      <c r="BI20" s="34"/>
      <c r="BJ20" s="34"/>
      <c r="BK20" s="34"/>
      <c r="BL20" s="30"/>
      <c r="BM20" s="34"/>
      <c r="BN20" s="34"/>
      <c r="BO20" s="34">
        <v>0</v>
      </c>
      <c r="BP20" s="34"/>
      <c r="BQ20" s="34"/>
      <c r="BR20" s="34"/>
      <c r="BS20" s="34"/>
      <c r="BT20" s="34"/>
      <c r="BU20" s="34"/>
      <c r="BV20" s="30"/>
      <c r="BW20" s="34"/>
      <c r="BX20" s="34"/>
      <c r="BY20" s="34">
        <v>0</v>
      </c>
      <c r="BZ20" s="34"/>
      <c r="CA20" s="34"/>
      <c r="CB20" s="34"/>
      <c r="CC20" s="34"/>
      <c r="CD20" s="34"/>
      <c r="CE20" s="34"/>
      <c r="CF20" s="30"/>
      <c r="CG20" s="34"/>
      <c r="CH20" s="34"/>
      <c r="CI20" s="32">
        <v>0</v>
      </c>
      <c r="CJ20" s="34"/>
      <c r="CK20" s="34"/>
      <c r="CL20" s="34"/>
      <c r="CM20" s="34"/>
      <c r="CN20" s="34"/>
      <c r="CO20" s="34"/>
      <c r="CP20" s="30"/>
      <c r="CQ20" s="34"/>
      <c r="CR20" s="34"/>
      <c r="CS20" s="34">
        <v>0</v>
      </c>
      <c r="CT20" s="34"/>
      <c r="CU20" s="34"/>
      <c r="CV20" s="34"/>
      <c r="CW20" s="34"/>
      <c r="CX20" s="34"/>
      <c r="CY20" s="34"/>
      <c r="CZ20" s="30"/>
      <c r="DA20" s="34"/>
      <c r="DB20" s="34"/>
      <c r="DC20" s="34">
        <v>0</v>
      </c>
      <c r="DD20" s="34"/>
      <c r="DE20" s="34"/>
      <c r="DF20" s="34"/>
      <c r="DG20" s="34"/>
      <c r="DH20" s="34"/>
      <c r="DI20" s="34"/>
      <c r="DJ20" s="30"/>
      <c r="DK20" s="34"/>
      <c r="DL20" s="34"/>
      <c r="DM20" s="32">
        <v>0</v>
      </c>
      <c r="DN20" s="34"/>
      <c r="DO20" s="34"/>
      <c r="DP20" s="34"/>
      <c r="DQ20" s="34"/>
      <c r="DR20" s="34"/>
    </row>
    <row r="21" spans="1:122" ht="30" customHeight="1" x14ac:dyDescent="0.25">
      <c r="A21" s="27"/>
      <c r="B21" s="28" t="s">
        <v>239</v>
      </c>
      <c r="C21" s="34"/>
      <c r="D21" s="30"/>
      <c r="E21" s="34"/>
      <c r="F21" s="34"/>
      <c r="G21" s="34">
        <v>38961499.999999948</v>
      </c>
      <c r="H21" s="34"/>
      <c r="I21" s="34"/>
      <c r="J21" s="34"/>
      <c r="K21" s="34"/>
      <c r="L21" s="34"/>
      <c r="M21" s="34"/>
      <c r="N21" s="30"/>
      <c r="O21" s="34"/>
      <c r="P21" s="34"/>
      <c r="Q21" s="34">
        <v>32618499.999999955</v>
      </c>
      <c r="R21" s="34"/>
      <c r="S21" s="34"/>
      <c r="T21" s="34"/>
      <c r="U21" s="34"/>
      <c r="V21" s="34"/>
      <c r="W21" s="34"/>
      <c r="X21" s="30"/>
      <c r="Y21" s="34"/>
      <c r="Z21" s="34"/>
      <c r="AA21" s="32">
        <v>3611000.0000000093</v>
      </c>
      <c r="AB21" s="34"/>
      <c r="AC21" s="34"/>
      <c r="AD21" s="34"/>
      <c r="AE21" s="34"/>
      <c r="AF21" s="34"/>
      <c r="AG21" s="34"/>
      <c r="AH21" s="30"/>
      <c r="AI21" s="34"/>
      <c r="AJ21" s="34"/>
      <c r="AK21" s="34">
        <v>0</v>
      </c>
      <c r="AL21" s="34"/>
      <c r="AM21" s="34"/>
      <c r="AN21" s="34"/>
      <c r="AO21" s="34"/>
      <c r="AP21" s="34"/>
      <c r="AQ21" s="34"/>
      <c r="AR21" s="30"/>
      <c r="AS21" s="34"/>
      <c r="AT21" s="34"/>
      <c r="AU21" s="34">
        <v>0</v>
      </c>
      <c r="AV21" s="34"/>
      <c r="AW21" s="34"/>
      <c r="AX21" s="34"/>
      <c r="AY21" s="34"/>
      <c r="AZ21" s="34"/>
      <c r="BA21" s="34"/>
      <c r="BB21" s="30"/>
      <c r="BC21" s="34"/>
      <c r="BD21" s="34"/>
      <c r="BE21" s="34">
        <v>0</v>
      </c>
      <c r="BF21" s="34"/>
      <c r="BG21" s="34"/>
      <c r="BH21" s="34"/>
      <c r="BI21" s="34"/>
      <c r="BJ21" s="34"/>
      <c r="BK21" s="34"/>
      <c r="BL21" s="30"/>
      <c r="BM21" s="34"/>
      <c r="BN21" s="34"/>
      <c r="BO21" s="34">
        <v>0</v>
      </c>
      <c r="BP21" s="34"/>
      <c r="BQ21" s="34"/>
      <c r="BR21" s="34"/>
      <c r="BS21" s="34"/>
      <c r="BT21" s="34"/>
      <c r="BU21" s="34"/>
      <c r="BV21" s="30"/>
      <c r="BW21" s="34"/>
      <c r="BX21" s="34"/>
      <c r="BY21" s="34">
        <v>0</v>
      </c>
      <c r="BZ21" s="34"/>
      <c r="CA21" s="34"/>
      <c r="CB21" s="34"/>
      <c r="CC21" s="34"/>
      <c r="CD21" s="34"/>
      <c r="CE21" s="34"/>
      <c r="CF21" s="30"/>
      <c r="CG21" s="34"/>
      <c r="CH21" s="34"/>
      <c r="CI21" s="32">
        <v>0</v>
      </c>
      <c r="CJ21" s="34"/>
      <c r="CK21" s="34"/>
      <c r="CL21" s="34"/>
      <c r="CM21" s="34"/>
      <c r="CN21" s="34"/>
      <c r="CO21" s="34"/>
      <c r="CP21" s="30"/>
      <c r="CQ21" s="34"/>
      <c r="CR21" s="34"/>
      <c r="CS21" s="34">
        <v>0</v>
      </c>
      <c r="CT21" s="34"/>
      <c r="CU21" s="34"/>
      <c r="CV21" s="34"/>
      <c r="CW21" s="34"/>
      <c r="CX21" s="34"/>
      <c r="CY21" s="34"/>
      <c r="CZ21" s="30"/>
      <c r="DA21" s="34"/>
      <c r="DB21" s="34"/>
      <c r="DC21" s="34">
        <v>0</v>
      </c>
      <c r="DD21" s="34"/>
      <c r="DE21" s="34"/>
      <c r="DF21" s="34"/>
      <c r="DG21" s="34"/>
      <c r="DH21" s="34"/>
      <c r="DI21" s="34"/>
      <c r="DJ21" s="30"/>
      <c r="DK21" s="34"/>
      <c r="DL21" s="34"/>
      <c r="DM21" s="32">
        <v>0</v>
      </c>
      <c r="DN21" s="34"/>
      <c r="DO21" s="34"/>
      <c r="DP21" s="34"/>
      <c r="DQ21" s="34"/>
      <c r="DR21" s="34"/>
    </row>
    <row r="22" spans="1:122" ht="30" customHeight="1" x14ac:dyDescent="0.25">
      <c r="A22" s="36"/>
      <c r="B22" s="37" t="s">
        <v>240</v>
      </c>
      <c r="C22" s="36">
        <f>SUM(C3:C21)</f>
        <v>84</v>
      </c>
      <c r="D22" s="38">
        <f>F22/E22</f>
        <v>7970.7737453880573</v>
      </c>
      <c r="E22" s="39">
        <f>SUM(E3:E21)</f>
        <v>134758.79999999999</v>
      </c>
      <c r="F22" s="39">
        <f>SUM(F3:F21)</f>
        <v>1074131905</v>
      </c>
      <c r="G22" s="39">
        <f>SUM(G3:G21)</f>
        <v>911939203.7023809</v>
      </c>
      <c r="H22" s="39"/>
      <c r="I22" s="39"/>
      <c r="J22" s="39"/>
      <c r="K22" s="39"/>
      <c r="L22" s="39"/>
      <c r="M22" s="36">
        <f>SUM(M3:M21)</f>
        <v>76</v>
      </c>
      <c r="N22" s="38">
        <f>P22/O22</f>
        <v>8312.9095754321934</v>
      </c>
      <c r="O22" s="39">
        <f>SUM(O3:O21)</f>
        <v>127998.39999999999</v>
      </c>
      <c r="P22" s="39">
        <f>SUM(P3:P21)</f>
        <v>1064039125</v>
      </c>
      <c r="Q22" s="39">
        <f>SUM(Q3:Q21)</f>
        <v>1090739928.2554111</v>
      </c>
      <c r="R22" s="39"/>
      <c r="S22" s="39"/>
      <c r="T22" s="39"/>
      <c r="U22" s="39"/>
      <c r="V22" s="39"/>
      <c r="W22" s="36">
        <f>SUM(W3:W21)</f>
        <v>80</v>
      </c>
      <c r="X22" s="38">
        <f>Z22/Y22</f>
        <v>8128.9277856232975</v>
      </c>
      <c r="Y22" s="39">
        <f>SUM(Y3:Y21)</f>
        <v>132984.6</v>
      </c>
      <c r="Z22" s="39">
        <f>SUM(Z3:Z21)</f>
        <v>1081022210</v>
      </c>
      <c r="AA22" s="39">
        <f>SUM(AA3:AA21)</f>
        <v>1042381362.732684</v>
      </c>
      <c r="AB22" s="39"/>
      <c r="AC22" s="39"/>
      <c r="AD22" s="39"/>
      <c r="AE22" s="39"/>
      <c r="AF22" s="39"/>
      <c r="AG22" s="36">
        <f>SUM(AG3:AG21)</f>
        <v>93</v>
      </c>
      <c r="AH22" s="38">
        <f>AJ22/AI22</f>
        <v>8587.8448057371024</v>
      </c>
      <c r="AI22" s="39">
        <f>SUM(AI3:AI21)</f>
        <v>144407.4</v>
      </c>
      <c r="AJ22" s="39">
        <f>SUM(AJ3:AJ21)</f>
        <v>1240148340</v>
      </c>
      <c r="AK22" s="39">
        <f>SUM(AK3:AK21)</f>
        <v>1103747665.1493504</v>
      </c>
      <c r="AL22" s="39"/>
      <c r="AM22" s="39"/>
      <c r="AN22" s="39"/>
      <c r="AO22" s="39"/>
      <c r="AP22" s="39"/>
      <c r="AQ22" s="36">
        <f>SUM(AQ3:AQ21)</f>
        <v>104</v>
      </c>
      <c r="AR22" s="38">
        <f>AT22/AS22</f>
        <v>8252.0192719594888</v>
      </c>
      <c r="AS22" s="39">
        <f>SUM(AS3:AS21)</f>
        <v>161399.25999999998</v>
      </c>
      <c r="AT22" s="39">
        <f>SUM(AT3:AT21)</f>
        <v>1331869804</v>
      </c>
      <c r="AU22" s="39">
        <f>SUM(AU3:AU21)</f>
        <v>1193891124.6826839</v>
      </c>
      <c r="AV22" s="39"/>
      <c r="AW22" s="39"/>
      <c r="AX22" s="39"/>
      <c r="AY22" s="39"/>
      <c r="AZ22" s="39"/>
      <c r="BA22" s="36">
        <f>SUM(BA3:BA21)</f>
        <v>97</v>
      </c>
      <c r="BB22" s="38">
        <f>BD22/BC22</f>
        <v>8026.2034615899238</v>
      </c>
      <c r="BC22" s="39">
        <f>SUM(BC3:BC21)</f>
        <v>160385.26</v>
      </c>
      <c r="BD22" s="39">
        <f>SUM(BD3:BD21)</f>
        <v>1287284729</v>
      </c>
      <c r="BE22" s="39">
        <f>SUM(BE3:BE21)</f>
        <v>1361220497.3076837</v>
      </c>
      <c r="BF22" s="39"/>
      <c r="BG22" s="39"/>
      <c r="BH22" s="39"/>
      <c r="BI22" s="39"/>
      <c r="BJ22" s="39"/>
      <c r="BK22" s="36">
        <f>SUM(BK3:BK21)</f>
        <v>95</v>
      </c>
      <c r="BL22" s="38">
        <f>BN22/BM22</f>
        <v>8709.6559381368188</v>
      </c>
      <c r="BM22" s="39">
        <f>SUM(BM3:BM21)</f>
        <v>168405.18000000002</v>
      </c>
      <c r="BN22" s="39">
        <f>SUM(BN3:BN21)</f>
        <v>1466751176</v>
      </c>
      <c r="BO22" s="39">
        <f>SUM(BO3:BO21)</f>
        <v>1550106474.7160172</v>
      </c>
      <c r="BP22" s="39"/>
      <c r="BQ22" s="39"/>
      <c r="BR22" s="39"/>
      <c r="BS22" s="39"/>
      <c r="BT22" s="39"/>
      <c r="BU22" s="36">
        <f>SUM(BU3:BU21)</f>
        <v>93</v>
      </c>
      <c r="BV22" s="38">
        <f>BX22/BW22</f>
        <v>8726.4401296399374</v>
      </c>
      <c r="BW22" s="39">
        <f>SUM(BW3:BW21)</f>
        <v>163431.12</v>
      </c>
      <c r="BX22" s="39">
        <f>SUM(BX3:BX21)</f>
        <v>1426171884</v>
      </c>
      <c r="BY22" s="39">
        <f>SUM(BY3:BY21)</f>
        <v>1546129807.4219697</v>
      </c>
      <c r="BZ22" s="39"/>
      <c r="CA22" s="39"/>
      <c r="CB22" s="39"/>
      <c r="CC22" s="39"/>
      <c r="CD22" s="39"/>
      <c r="CE22" s="36">
        <f>SUM(CE3:CE21)</f>
        <v>96</v>
      </c>
      <c r="CF22" s="38">
        <f>CH22/CG22</f>
        <v>8788.9789095140295</v>
      </c>
      <c r="CG22" s="39">
        <f>SUM(CG3:CG21)</f>
        <v>157445.4</v>
      </c>
      <c r="CH22" s="39">
        <f>SUM(CH3:CH21)</f>
        <v>1383784300</v>
      </c>
      <c r="CI22" s="39">
        <f>SUM(CI3:CI21)</f>
        <v>1705827314.4969695</v>
      </c>
      <c r="CJ22" s="39"/>
      <c r="CK22" s="39"/>
      <c r="CL22" s="39"/>
      <c r="CM22" s="39"/>
      <c r="CN22" s="39"/>
      <c r="CO22" s="36">
        <f>SUM(CO3:CO21)</f>
        <v>92</v>
      </c>
      <c r="CP22" s="38">
        <f>CR22/CQ22</f>
        <v>9174.9471810153009</v>
      </c>
      <c r="CQ22" s="39">
        <f>SUM(CQ3:CQ21)</f>
        <v>155834.12</v>
      </c>
      <c r="CR22" s="39">
        <f>SUM(CR3:CR21)</f>
        <v>1429769820</v>
      </c>
      <c r="CS22" s="39">
        <f>SUM(CS3:CS21)</f>
        <v>1922684649.0053029</v>
      </c>
      <c r="CT22" s="39"/>
      <c r="CU22" s="39"/>
      <c r="CV22" s="39"/>
      <c r="CW22" s="39"/>
      <c r="CX22" s="39"/>
      <c r="CY22" s="36">
        <f>SUM(CY3:CY21)</f>
        <v>90</v>
      </c>
      <c r="CZ22" s="38">
        <f>DB22/DA22</f>
        <v>8403.4618018822621</v>
      </c>
      <c r="DA22" s="39">
        <f>SUM(DA3:DA21)</f>
        <v>161280.46</v>
      </c>
      <c r="DB22" s="39">
        <f>SUM(DB3:DB21)</f>
        <v>1355314185</v>
      </c>
      <c r="DC22" s="39">
        <f>SUM(DC3:DC21)</f>
        <v>1976237205.5053034</v>
      </c>
      <c r="DD22" s="39"/>
      <c r="DE22" s="39"/>
      <c r="DF22" s="39"/>
      <c r="DG22" s="39"/>
      <c r="DH22" s="39"/>
      <c r="DI22" s="36">
        <f>SUM(DI3:DI21)</f>
        <v>93</v>
      </c>
      <c r="DJ22" s="38">
        <f>DL22/DK22</f>
        <v>9020.2603904071784</v>
      </c>
      <c r="DK22" s="39">
        <f>SUM(DK3:DK21)</f>
        <v>153000.26</v>
      </c>
      <c r="DL22" s="39">
        <f>SUM(DL3:DL21)</f>
        <v>1380102185</v>
      </c>
      <c r="DM22" s="39">
        <f>SUM(DM3:DM21)</f>
        <v>2125308453.4803028</v>
      </c>
      <c r="DN22" s="39"/>
      <c r="DO22" s="39"/>
      <c r="DP22" s="39"/>
      <c r="DQ22" s="39"/>
      <c r="DR22" s="3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G34" sqref="G34"/>
    </sheetView>
  </sheetViews>
  <sheetFormatPr defaultRowHeight="15.75" x14ac:dyDescent="0.25"/>
  <sheetData>
    <row r="1" spans="1:10" x14ac:dyDescent="0.25">
      <c r="A1" t="s">
        <v>42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</row>
    <row r="2" spans="1:10" x14ac:dyDescent="0.25">
      <c r="A2" t="s">
        <v>43</v>
      </c>
      <c r="B2">
        <v>5.65</v>
      </c>
      <c r="C2">
        <v>22.62</v>
      </c>
      <c r="D2">
        <v>3.67</v>
      </c>
      <c r="E2">
        <v>1.98</v>
      </c>
      <c r="F2">
        <v>1.98</v>
      </c>
      <c r="G2">
        <v>1.41</v>
      </c>
      <c r="H2">
        <v>1.02</v>
      </c>
      <c r="I2">
        <v>0.68</v>
      </c>
      <c r="J2">
        <v>0.56999999999999995</v>
      </c>
    </row>
    <row r="3" spans="1:10" x14ac:dyDescent="0.25">
      <c r="A3" t="s">
        <v>44</v>
      </c>
      <c r="B3">
        <v>5.65</v>
      </c>
      <c r="C3">
        <v>22.62</v>
      </c>
      <c r="D3">
        <v>3.67</v>
      </c>
      <c r="E3">
        <v>1.98</v>
      </c>
      <c r="F3">
        <v>1.98</v>
      </c>
      <c r="G3">
        <v>1.41</v>
      </c>
      <c r="H3">
        <v>1.02</v>
      </c>
      <c r="I3">
        <v>0.68</v>
      </c>
      <c r="J3">
        <v>0.56999999999999995</v>
      </c>
    </row>
    <row r="4" spans="1:10" x14ac:dyDescent="0.25">
      <c r="A4" t="s">
        <v>45</v>
      </c>
      <c r="B4">
        <v>5.65</v>
      </c>
      <c r="C4">
        <v>22.62</v>
      </c>
      <c r="D4">
        <v>3.67</v>
      </c>
      <c r="E4">
        <v>1.98</v>
      </c>
      <c r="F4">
        <v>1.98</v>
      </c>
      <c r="G4">
        <v>1.41</v>
      </c>
      <c r="H4">
        <v>1.02</v>
      </c>
      <c r="I4">
        <v>0.68</v>
      </c>
      <c r="J4">
        <v>0.56999999999999995</v>
      </c>
    </row>
    <row r="5" spans="1:10" x14ac:dyDescent="0.25">
      <c r="A5" t="s">
        <v>46</v>
      </c>
      <c r="B5">
        <v>11.48</v>
      </c>
      <c r="C5">
        <v>45.89</v>
      </c>
      <c r="D5">
        <v>7.46</v>
      </c>
      <c r="E5">
        <v>4.0199999999999996</v>
      </c>
      <c r="F5">
        <v>4.0199999999999996</v>
      </c>
      <c r="G5">
        <v>2.87</v>
      </c>
      <c r="H5">
        <v>2.0699999999999998</v>
      </c>
      <c r="I5">
        <v>1.38</v>
      </c>
      <c r="J5">
        <v>1.1499999999999999</v>
      </c>
    </row>
    <row r="6" spans="1:10" x14ac:dyDescent="0.25">
      <c r="A6" t="s">
        <v>47</v>
      </c>
      <c r="B6">
        <v>15.55</v>
      </c>
      <c r="C6">
        <v>62.21</v>
      </c>
      <c r="D6">
        <v>10.11</v>
      </c>
      <c r="E6">
        <v>5.44</v>
      </c>
      <c r="F6">
        <v>5.44</v>
      </c>
      <c r="G6">
        <v>3.89</v>
      </c>
      <c r="H6">
        <v>2.8</v>
      </c>
      <c r="I6">
        <v>1.87</v>
      </c>
      <c r="J6">
        <v>1.56</v>
      </c>
    </row>
    <row r="7" spans="1:10" x14ac:dyDescent="0.25">
      <c r="A7" t="s">
        <v>48</v>
      </c>
      <c r="B7">
        <v>3.38</v>
      </c>
      <c r="C7">
        <v>13.51</v>
      </c>
      <c r="D7">
        <v>2.2000000000000002</v>
      </c>
      <c r="E7">
        <v>1.18</v>
      </c>
      <c r="F7">
        <v>1.18</v>
      </c>
      <c r="G7">
        <v>0.84</v>
      </c>
      <c r="H7">
        <v>0.61</v>
      </c>
      <c r="I7">
        <v>0.41</v>
      </c>
      <c r="J7">
        <v>0.34</v>
      </c>
    </row>
    <row r="8" spans="1:10" x14ac:dyDescent="0.25">
      <c r="A8" t="s">
        <v>49</v>
      </c>
      <c r="B8">
        <v>105.02</v>
      </c>
      <c r="C8">
        <v>420.08</v>
      </c>
      <c r="D8">
        <v>68.260000000000005</v>
      </c>
      <c r="E8">
        <v>36.76</v>
      </c>
      <c r="F8">
        <v>36.76</v>
      </c>
      <c r="G8">
        <v>26.25</v>
      </c>
      <c r="H8">
        <v>18.899999999999999</v>
      </c>
      <c r="I8">
        <v>12.6</v>
      </c>
      <c r="J8">
        <v>10.5</v>
      </c>
    </row>
    <row r="9" spans="1:10" x14ac:dyDescent="0.25">
      <c r="A9" t="s">
        <v>50</v>
      </c>
      <c r="B9">
        <v>3.03</v>
      </c>
      <c r="C9">
        <v>12.12</v>
      </c>
      <c r="D9">
        <v>1.97</v>
      </c>
      <c r="E9">
        <v>1.06</v>
      </c>
      <c r="F9">
        <v>1.06</v>
      </c>
      <c r="G9">
        <v>0.76</v>
      </c>
      <c r="H9">
        <v>0.55000000000000004</v>
      </c>
      <c r="I9">
        <v>0.36</v>
      </c>
      <c r="J9">
        <v>0.3</v>
      </c>
    </row>
    <row r="10" spans="1:10" x14ac:dyDescent="0.25">
      <c r="A10" t="s">
        <v>51</v>
      </c>
      <c r="B10">
        <v>5.46</v>
      </c>
      <c r="C10">
        <v>21.81</v>
      </c>
      <c r="D10">
        <v>3.55</v>
      </c>
      <c r="E10">
        <v>1.91</v>
      </c>
      <c r="F10">
        <v>1.91</v>
      </c>
      <c r="G10">
        <v>1.36</v>
      </c>
      <c r="H10">
        <v>0.98</v>
      </c>
      <c r="I10">
        <v>0.66</v>
      </c>
      <c r="J10">
        <v>0.55000000000000004</v>
      </c>
    </row>
    <row r="11" spans="1:10" x14ac:dyDescent="0.25">
      <c r="A11" t="s">
        <v>52</v>
      </c>
      <c r="B11">
        <v>49.15</v>
      </c>
      <c r="C11">
        <v>196.59</v>
      </c>
      <c r="D11">
        <v>31.95</v>
      </c>
      <c r="E11">
        <v>17.2</v>
      </c>
      <c r="F11">
        <v>17.2</v>
      </c>
      <c r="G11">
        <v>12.29</v>
      </c>
      <c r="H11">
        <v>8.85</v>
      </c>
      <c r="I11">
        <v>5.9</v>
      </c>
      <c r="J11">
        <v>4.92</v>
      </c>
    </row>
    <row r="12" spans="1:10" x14ac:dyDescent="0.25">
      <c r="A12" t="s">
        <v>53</v>
      </c>
      <c r="B12">
        <v>37.979999999999997</v>
      </c>
      <c r="C12">
        <v>151.94</v>
      </c>
      <c r="D12">
        <v>24.69</v>
      </c>
      <c r="E12">
        <v>13.29</v>
      </c>
      <c r="F12">
        <v>13.29</v>
      </c>
      <c r="G12">
        <v>9.49</v>
      </c>
      <c r="H12">
        <v>6.84</v>
      </c>
      <c r="I12">
        <v>4.5599999999999996</v>
      </c>
      <c r="J12">
        <v>3.8</v>
      </c>
    </row>
    <row r="13" spans="1:10" x14ac:dyDescent="0.25">
      <c r="A13" t="s">
        <v>54</v>
      </c>
      <c r="B13">
        <v>127.84</v>
      </c>
      <c r="C13">
        <v>511.36</v>
      </c>
      <c r="D13">
        <v>83.1</v>
      </c>
      <c r="E13">
        <v>44.74</v>
      </c>
      <c r="F13">
        <v>44.74</v>
      </c>
      <c r="G13">
        <v>31.96</v>
      </c>
      <c r="H13">
        <v>23.01</v>
      </c>
      <c r="I13">
        <v>15.34</v>
      </c>
      <c r="J13">
        <v>12.78</v>
      </c>
    </row>
    <row r="14" spans="1:10" x14ac:dyDescent="0.25">
      <c r="A14" t="s">
        <v>55</v>
      </c>
      <c r="B14">
        <v>0.2</v>
      </c>
      <c r="C14">
        <v>0.81</v>
      </c>
      <c r="D14">
        <v>0.13</v>
      </c>
      <c r="E14">
        <v>7.0000000000000007E-2</v>
      </c>
      <c r="F14">
        <v>7.0000000000000007E-2</v>
      </c>
      <c r="G14">
        <v>0.05</v>
      </c>
      <c r="H14">
        <v>0.04</v>
      </c>
      <c r="I14">
        <v>0.02</v>
      </c>
      <c r="J14">
        <v>0.02</v>
      </c>
    </row>
    <row r="15" spans="1:10" x14ac:dyDescent="0.25">
      <c r="A15" t="s">
        <v>56</v>
      </c>
      <c r="B15">
        <v>73.11</v>
      </c>
      <c r="C15">
        <v>292.44</v>
      </c>
      <c r="D15">
        <v>47.52</v>
      </c>
      <c r="E15">
        <v>25.59</v>
      </c>
      <c r="F15">
        <v>25.59</v>
      </c>
      <c r="G15">
        <v>18.28</v>
      </c>
      <c r="H15">
        <v>13.16</v>
      </c>
      <c r="I15">
        <v>8.77</v>
      </c>
      <c r="J15">
        <v>7.31</v>
      </c>
    </row>
    <row r="16" spans="1:10" x14ac:dyDescent="0.25">
      <c r="A16" t="s">
        <v>57</v>
      </c>
      <c r="B16">
        <v>2.62</v>
      </c>
      <c r="C16">
        <v>10.5</v>
      </c>
      <c r="D16">
        <v>1.7</v>
      </c>
      <c r="E16">
        <v>0.92</v>
      </c>
      <c r="F16">
        <v>0.92</v>
      </c>
      <c r="G16">
        <v>0.66</v>
      </c>
      <c r="H16">
        <v>0.47</v>
      </c>
      <c r="I16">
        <v>0.31</v>
      </c>
      <c r="J16">
        <v>0.26</v>
      </c>
    </row>
    <row r="17" spans="1:10" x14ac:dyDescent="0.25">
      <c r="A17" t="s">
        <v>58</v>
      </c>
      <c r="B17">
        <v>50.49</v>
      </c>
      <c r="C17">
        <v>201.96</v>
      </c>
      <c r="D17">
        <v>32.82</v>
      </c>
      <c r="E17">
        <v>17.670000000000002</v>
      </c>
      <c r="F17">
        <v>17.670000000000002</v>
      </c>
      <c r="G17">
        <v>12.62</v>
      </c>
      <c r="H17">
        <v>9.09</v>
      </c>
      <c r="I17">
        <v>6.06</v>
      </c>
      <c r="J17">
        <v>5.05</v>
      </c>
    </row>
    <row r="18" spans="1:10" x14ac:dyDescent="0.25">
      <c r="A18" t="s">
        <v>59</v>
      </c>
      <c r="B18">
        <v>31.9</v>
      </c>
      <c r="C18">
        <v>127.64</v>
      </c>
      <c r="D18">
        <v>20.73</v>
      </c>
      <c r="E18">
        <v>11.16</v>
      </c>
      <c r="F18">
        <v>11.16</v>
      </c>
      <c r="G18">
        <v>7.97</v>
      </c>
      <c r="H18">
        <v>5.74</v>
      </c>
      <c r="I18">
        <v>3.83</v>
      </c>
      <c r="J18">
        <v>3.19</v>
      </c>
    </row>
    <row r="19" spans="1:10" x14ac:dyDescent="0.25">
      <c r="A19" t="s">
        <v>60</v>
      </c>
      <c r="B19">
        <v>8.1999999999999993</v>
      </c>
      <c r="C19">
        <v>32.81</v>
      </c>
      <c r="D19">
        <v>5.33</v>
      </c>
      <c r="E19">
        <v>2.87</v>
      </c>
      <c r="F19">
        <v>2.87</v>
      </c>
      <c r="G19">
        <v>2.0499999999999998</v>
      </c>
      <c r="H19">
        <v>1.48</v>
      </c>
      <c r="I19">
        <v>0.98</v>
      </c>
      <c r="J19">
        <v>0.82</v>
      </c>
    </row>
    <row r="20" spans="1:10" x14ac:dyDescent="0.25">
      <c r="A20" t="s">
        <v>61</v>
      </c>
      <c r="B20">
        <v>33.93</v>
      </c>
      <c r="C20">
        <v>135.71</v>
      </c>
      <c r="D20">
        <v>22.05</v>
      </c>
      <c r="E20">
        <v>11.88</v>
      </c>
      <c r="F20">
        <v>11.88</v>
      </c>
      <c r="G20">
        <v>8.48</v>
      </c>
      <c r="H20">
        <v>6.11</v>
      </c>
      <c r="I20">
        <v>4.07</v>
      </c>
      <c r="J20">
        <v>3.39</v>
      </c>
    </row>
    <row r="21" spans="1:10" x14ac:dyDescent="0.25">
      <c r="A21" t="s">
        <v>62</v>
      </c>
      <c r="B21">
        <v>8.08</v>
      </c>
      <c r="C21">
        <v>32.31</v>
      </c>
      <c r="D21">
        <v>5.25</v>
      </c>
      <c r="E21">
        <v>2.83</v>
      </c>
      <c r="F21">
        <v>2.83</v>
      </c>
      <c r="G21">
        <v>2.02</v>
      </c>
      <c r="H21">
        <v>1.45</v>
      </c>
      <c r="I21">
        <v>0.97</v>
      </c>
      <c r="J21">
        <v>0.81</v>
      </c>
    </row>
    <row r="22" spans="1:10" x14ac:dyDescent="0.25">
      <c r="A22" t="s">
        <v>63</v>
      </c>
      <c r="B22">
        <v>4.6399999999999997</v>
      </c>
      <c r="C22">
        <v>18.579999999999998</v>
      </c>
      <c r="D22">
        <v>3.02</v>
      </c>
      <c r="E22">
        <v>1.62</v>
      </c>
      <c r="F22">
        <v>1.62</v>
      </c>
      <c r="G22">
        <v>1.1599999999999999</v>
      </c>
      <c r="H22">
        <v>0.84</v>
      </c>
      <c r="I22">
        <v>0.56000000000000005</v>
      </c>
      <c r="J22">
        <v>0.46</v>
      </c>
    </row>
    <row r="23" spans="1:10" x14ac:dyDescent="0.25">
      <c r="A23" t="s">
        <v>64</v>
      </c>
      <c r="B23">
        <v>24.24</v>
      </c>
      <c r="C23">
        <v>96.94</v>
      </c>
      <c r="D23">
        <v>15.76</v>
      </c>
      <c r="E23">
        <v>8.48</v>
      </c>
      <c r="F23">
        <v>8.48</v>
      </c>
      <c r="G23">
        <v>6.06</v>
      </c>
      <c r="H23">
        <v>4.3600000000000003</v>
      </c>
      <c r="I23">
        <v>2.91</v>
      </c>
      <c r="J23">
        <v>2.42</v>
      </c>
    </row>
    <row r="24" spans="1:10" x14ac:dyDescent="0.25">
      <c r="A24" t="s">
        <v>65</v>
      </c>
      <c r="B24">
        <v>21.71</v>
      </c>
      <c r="C24">
        <v>86.82</v>
      </c>
      <c r="D24">
        <v>14.11</v>
      </c>
      <c r="E24">
        <v>7.6</v>
      </c>
      <c r="F24">
        <v>7.6</v>
      </c>
      <c r="G24">
        <v>5.43</v>
      </c>
      <c r="H24">
        <v>3.91</v>
      </c>
      <c r="I24">
        <v>2.61</v>
      </c>
      <c r="J24">
        <v>2.17</v>
      </c>
    </row>
    <row r="25" spans="1:10" x14ac:dyDescent="0.25">
      <c r="A25" t="s">
        <v>66</v>
      </c>
      <c r="B25">
        <v>1.82</v>
      </c>
      <c r="C25">
        <v>7.27</v>
      </c>
      <c r="D25">
        <v>1.18</v>
      </c>
      <c r="E25">
        <v>0.64</v>
      </c>
      <c r="F25">
        <v>0.64</v>
      </c>
      <c r="G25">
        <v>0.46</v>
      </c>
      <c r="H25">
        <v>0.33</v>
      </c>
      <c r="I25">
        <v>0.22</v>
      </c>
      <c r="J25">
        <v>0.18</v>
      </c>
    </row>
  </sheetData>
  <pageMargins left="0.7" right="0.7" top="0.75" bottom="0.75" header="0.3" footer="0.3"/>
  <ignoredErrors>
    <ignoredError sqref="A1:J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Q20" sqref="Q20"/>
    </sheetView>
  </sheetViews>
  <sheetFormatPr defaultRowHeight="15.75" x14ac:dyDescent="0.25"/>
  <cols>
    <col min="1" max="1" width="19.625" bestFit="1" customWidth="1"/>
    <col min="2" max="2" width="14.125" customWidth="1"/>
    <col min="3" max="3" width="16.25" customWidth="1"/>
    <col min="4" max="4" width="13.25" customWidth="1"/>
    <col min="5" max="5" width="11.625" customWidth="1"/>
    <col min="6" max="6" width="11.5" customWidth="1"/>
    <col min="7" max="7" width="11.75" customWidth="1"/>
    <col min="8" max="8" width="11.375" customWidth="1"/>
    <col min="9" max="9" width="12.25" customWidth="1"/>
    <col min="10" max="10" width="10.625" customWidth="1"/>
    <col min="11" max="11" width="10.75" customWidth="1"/>
    <col min="12" max="12" width="10.5" customWidth="1"/>
    <col min="13" max="13" width="11.375" customWidth="1"/>
    <col min="14" max="14" width="13.625" customWidth="1"/>
  </cols>
  <sheetData>
    <row r="1" spans="1:14" ht="16.5" thickBot="1" x14ac:dyDescent="0.3">
      <c r="A1" s="16" t="s">
        <v>172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1:14" ht="16.5" thickBot="1" x14ac:dyDescent="0.3">
      <c r="A2" s="5" t="s">
        <v>173</v>
      </c>
      <c r="B2" s="6"/>
      <c r="C2" s="7">
        <v>46113</v>
      </c>
      <c r="D2" s="8">
        <v>46143</v>
      </c>
      <c r="E2" s="8">
        <v>46174</v>
      </c>
      <c r="F2" s="8">
        <v>46204</v>
      </c>
      <c r="G2" s="8">
        <v>46235</v>
      </c>
      <c r="H2" s="8">
        <v>46266</v>
      </c>
      <c r="I2" s="8">
        <v>46296</v>
      </c>
      <c r="J2" s="8">
        <v>46327</v>
      </c>
      <c r="K2" s="8">
        <v>46357</v>
      </c>
      <c r="L2" s="8">
        <v>46388</v>
      </c>
      <c r="M2" s="8">
        <v>46419</v>
      </c>
      <c r="N2" s="9">
        <v>46447</v>
      </c>
    </row>
    <row r="3" spans="1:14" x14ac:dyDescent="0.25">
      <c r="A3" s="10"/>
      <c r="B3" s="11" t="s">
        <v>174</v>
      </c>
      <c r="C3" s="11">
        <f>C6+C9+C12+C15+C18+C21+C24+C27+C30+C33+C36+C39+C42+C45+C48+C51+C54+C57</f>
        <v>55.208334419319947</v>
      </c>
      <c r="D3" s="11">
        <f t="shared" ref="D3:N4" si="0">D6+D9+D12+D15+D18+D21+D24+D27+D30+D33+D36+D39+D42+D45+D48+D51+D54+D57</f>
        <v>60.212746759234115</v>
      </c>
      <c r="E3" s="11">
        <f t="shared" si="0"/>
        <v>68.397163468847296</v>
      </c>
      <c r="F3" s="11">
        <f t="shared" si="0"/>
        <v>79.196108154062443</v>
      </c>
      <c r="G3" s="11">
        <f t="shared" si="0"/>
        <v>89.154255564133337</v>
      </c>
      <c r="H3" s="11">
        <f t="shared" si="0"/>
        <v>90.436050732626967</v>
      </c>
      <c r="I3" s="11">
        <f t="shared" si="0"/>
        <v>94.261119521357003</v>
      </c>
      <c r="J3" s="11">
        <f t="shared" si="0"/>
        <v>89.192164676779569</v>
      </c>
      <c r="K3" s="11">
        <f t="shared" si="0"/>
        <v>84.307619908545874</v>
      </c>
      <c r="L3" s="11">
        <f t="shared" si="0"/>
        <v>75.002433161514077</v>
      </c>
      <c r="M3" s="11">
        <f t="shared" si="0"/>
        <v>83.194896184768865</v>
      </c>
      <c r="N3" s="11">
        <f t="shared" si="0"/>
        <v>81.449267448810517</v>
      </c>
    </row>
    <row r="4" spans="1:14" x14ac:dyDescent="0.25">
      <c r="A4" s="10"/>
      <c r="B4" s="11" t="s">
        <v>175</v>
      </c>
      <c r="C4" s="11">
        <f>C7+C10+C13+C16+C19+C22+C25+C28+C31+C34+C37+C40+C43+C46+C49+C52+C55+C58</f>
        <v>29.067666197100394</v>
      </c>
      <c r="D4" s="11">
        <f t="shared" si="0"/>
        <v>31.615957280686807</v>
      </c>
      <c r="E4" s="11">
        <f t="shared" si="0"/>
        <v>0</v>
      </c>
      <c r="F4" s="11">
        <f t="shared" si="0"/>
        <v>0</v>
      </c>
      <c r="G4" s="11">
        <f t="shared" si="0"/>
        <v>0</v>
      </c>
      <c r="H4" s="11">
        <f t="shared" si="0"/>
        <v>0</v>
      </c>
      <c r="I4" s="11">
        <f t="shared" si="0"/>
        <v>0</v>
      </c>
      <c r="J4" s="11">
        <f t="shared" si="0"/>
        <v>0</v>
      </c>
      <c r="K4" s="11">
        <f t="shared" si="0"/>
        <v>0</v>
      </c>
      <c r="L4" s="11">
        <f t="shared" si="0"/>
        <v>0</v>
      </c>
      <c r="M4" s="11">
        <f t="shared" si="0"/>
        <v>0</v>
      </c>
      <c r="N4" s="11">
        <f t="shared" si="0"/>
        <v>0</v>
      </c>
    </row>
    <row r="5" spans="1:14" x14ac:dyDescent="0.25">
      <c r="A5" s="10"/>
      <c r="B5" s="11" t="s">
        <v>176</v>
      </c>
      <c r="C5" s="12">
        <f>C4/C3</f>
        <v>0.52650866038313726</v>
      </c>
      <c r="D5" s="12">
        <f>D4/D3</f>
        <v>0.52507083603254223</v>
      </c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25">
      <c r="A6" s="15" t="s">
        <v>177</v>
      </c>
      <c r="B6" s="11" t="s">
        <v>174</v>
      </c>
      <c r="C6" s="11">
        <v>8.2975269012319668</v>
      </c>
      <c r="D6" s="11">
        <v>8.5868029860174406</v>
      </c>
      <c r="E6" s="11">
        <v>9.35919072143367</v>
      </c>
      <c r="F6" s="11">
        <v>12.127370595819837</v>
      </c>
      <c r="G6" s="11">
        <v>12.06104681345229</v>
      </c>
      <c r="H6" s="11">
        <v>12.921313241553761</v>
      </c>
      <c r="I6" s="11">
        <v>12.210435829343748</v>
      </c>
      <c r="J6" s="11">
        <v>13.026793349648077</v>
      </c>
      <c r="K6" s="11">
        <v>12.130212430846386</v>
      </c>
      <c r="L6" s="11">
        <v>10.811711079667433</v>
      </c>
      <c r="M6" s="11">
        <v>12.130212430846386</v>
      </c>
      <c r="N6" s="11">
        <v>11.339111620139013</v>
      </c>
    </row>
    <row r="7" spans="1:14" x14ac:dyDescent="0.25">
      <c r="A7" s="15"/>
      <c r="B7" s="11" t="s">
        <v>175</v>
      </c>
      <c r="C7" s="11">
        <f>'[1]04-2026'!G8</f>
        <v>2.8323535439996999</v>
      </c>
      <c r="D7" s="11">
        <f>'[1]05-2026'!G8</f>
        <v>4.0911773410963006</v>
      </c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x14ac:dyDescent="0.25">
      <c r="A8" s="15"/>
      <c r="B8" s="11" t="s">
        <v>176</v>
      </c>
      <c r="C8" s="13">
        <f>C7/C6</f>
        <v>0.34134912459026423</v>
      </c>
      <c r="D8" s="13">
        <f>D7/D6</f>
        <v>0.47644942451320743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x14ac:dyDescent="0.25">
      <c r="A9" s="15" t="s">
        <v>178</v>
      </c>
      <c r="B9" s="11" t="s">
        <v>174</v>
      </c>
      <c r="C9" s="11">
        <v>1.5625199999999999</v>
      </c>
      <c r="D9" s="11">
        <v>2.4271144000000002</v>
      </c>
      <c r="E9" s="11">
        <v>2.2916960000000004</v>
      </c>
      <c r="F9" s="11">
        <v>2.1875279999999999</v>
      </c>
      <c r="G9" s="11">
        <v>2.3021128000000002</v>
      </c>
      <c r="H9" s="11">
        <v>1.875024</v>
      </c>
      <c r="I9" s="11">
        <v>2.1666943999999999</v>
      </c>
      <c r="J9" s="11">
        <v>1.770856</v>
      </c>
      <c r="K9" s="11">
        <v>1.6041872000000001</v>
      </c>
      <c r="L9" s="11">
        <v>1.9791919999999998</v>
      </c>
      <c r="M9" s="11">
        <v>2.1979447999999997</v>
      </c>
      <c r="N9" s="11">
        <v>2.6354503999999999</v>
      </c>
    </row>
    <row r="10" spans="1:14" x14ac:dyDescent="0.25">
      <c r="A10" s="15"/>
      <c r="B10" s="11" t="s">
        <v>175</v>
      </c>
      <c r="C10" s="11">
        <f>'[1]04-2026'!G16</f>
        <v>0.24127498695500005</v>
      </c>
      <c r="D10" s="11">
        <f>'[1]05-2026'!G16</f>
        <v>0.627314965966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25">
      <c r="A11" s="15"/>
      <c r="B11" s="11" t="s">
        <v>176</v>
      </c>
      <c r="C11" s="13">
        <f>C10/C9</f>
        <v>0.15441401515180608</v>
      </c>
      <c r="D11" s="13">
        <f>D10/D9</f>
        <v>0.25846122702992491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15" t="s">
        <v>179</v>
      </c>
      <c r="B12" s="11" t="s">
        <v>174</v>
      </c>
      <c r="C12" s="11">
        <v>5.5858996367056939</v>
      </c>
      <c r="D12" s="11">
        <v>6.0158221747851721</v>
      </c>
      <c r="E12" s="11">
        <v>8.1148014736112177</v>
      </c>
      <c r="F12" s="11">
        <v>6.6208722097571604</v>
      </c>
      <c r="G12" s="11">
        <v>8.835553963920928</v>
      </c>
      <c r="H12" s="11">
        <v>8.8960643943625612</v>
      </c>
      <c r="I12" s="11">
        <v>9.4609007710769255</v>
      </c>
      <c r="J12" s="11">
        <v>9.100388852311216</v>
      </c>
      <c r="K12" s="11">
        <v>7.0125890590196764</v>
      </c>
      <c r="L12" s="11">
        <v>5.2994112400228408</v>
      </c>
      <c r="M12" s="11">
        <v>9.6758077706723231</v>
      </c>
      <c r="N12" s="11">
        <v>5.3830404537542824</v>
      </c>
    </row>
    <row r="13" spans="1:14" x14ac:dyDescent="0.25">
      <c r="A13" s="15"/>
      <c r="B13" s="11" t="s">
        <v>175</v>
      </c>
      <c r="C13" s="11">
        <f>'[1]04-2026'!G26</f>
        <v>2.4366195803718997</v>
      </c>
      <c r="D13" s="11">
        <f>'[1]05-2026'!G26</f>
        <v>1.9303090181922997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x14ac:dyDescent="0.25">
      <c r="A14" s="15"/>
      <c r="B14" s="11" t="s">
        <v>176</v>
      </c>
      <c r="C14" s="13">
        <f>C13/C12</f>
        <v>0.43620897954566645</v>
      </c>
      <c r="D14" s="13">
        <f>D13/D12</f>
        <v>0.32087202083250277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25">
      <c r="A15" s="15" t="s">
        <v>180</v>
      </c>
      <c r="B15" s="11" t="s">
        <v>174</v>
      </c>
      <c r="C15" s="11">
        <v>5.6000716800000001</v>
      </c>
      <c r="D15" s="11">
        <v>6.65008512</v>
      </c>
      <c r="E15" s="11">
        <v>8.0501030400000015</v>
      </c>
      <c r="F15" s="11">
        <v>8.4001075200000006</v>
      </c>
      <c r="G15" s="11">
        <v>9.1001164800000005</v>
      </c>
      <c r="H15" s="11">
        <v>7.7000985600000007</v>
      </c>
      <c r="I15" s="11">
        <v>8.7501119999999997</v>
      </c>
      <c r="J15" s="11">
        <v>8.4001075200000006</v>
      </c>
      <c r="K15" s="11">
        <v>7.3500940799999999</v>
      </c>
      <c r="L15" s="14">
        <v>0</v>
      </c>
      <c r="M15" s="14">
        <v>0</v>
      </c>
      <c r="N15" s="14">
        <v>0</v>
      </c>
    </row>
    <row r="16" spans="1:14" x14ac:dyDescent="0.25">
      <c r="A16" s="15"/>
      <c r="B16" s="11" t="s">
        <v>175</v>
      </c>
      <c r="C16" s="11">
        <f>'[1]04-2026'!G37</f>
        <v>3.7146926673882001</v>
      </c>
      <c r="D16" s="11">
        <f>'[1]05-2026'!G37</f>
        <v>7.2783815645559002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5">
      <c r="A17" s="15"/>
      <c r="B17" s="11" t="s">
        <v>176</v>
      </c>
      <c r="C17" s="13">
        <f>C16/C15</f>
        <v>0.66332948570190442</v>
      </c>
      <c r="D17" s="13">
        <f>D16/D15</f>
        <v>1.0944794590171953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5">
      <c r="A18" s="15" t="s">
        <v>181</v>
      </c>
      <c r="B18" s="11" t="s">
        <v>174</v>
      </c>
      <c r="C18" s="11">
        <v>1.934336767481637</v>
      </c>
      <c r="D18" s="11">
        <v>1.4646423593041999</v>
      </c>
      <c r="E18" s="11">
        <v>0.95405214489752033</v>
      </c>
      <c r="F18" s="11">
        <v>3.4801442550839887</v>
      </c>
      <c r="G18" s="11">
        <v>3.5715187132265536</v>
      </c>
      <c r="H18" s="11">
        <v>3.6746355315735539</v>
      </c>
      <c r="I18" s="11">
        <v>3.9796669575738437</v>
      </c>
      <c r="J18" s="11">
        <v>3.6560996986071643</v>
      </c>
      <c r="K18" s="11">
        <v>3.9768325947658765</v>
      </c>
      <c r="L18" s="11">
        <v>4.6787647936532686</v>
      </c>
      <c r="M18" s="11">
        <v>5.7529433079870307</v>
      </c>
      <c r="N18" s="11">
        <v>2.8768748758453628</v>
      </c>
    </row>
    <row r="19" spans="1:14" x14ac:dyDescent="0.25">
      <c r="A19" s="15"/>
      <c r="B19" s="11" t="s">
        <v>175</v>
      </c>
      <c r="C19" s="11">
        <f>'[1]04-2026'!G46</f>
        <v>0.67186584465880006</v>
      </c>
      <c r="D19" s="11">
        <f>'[1]05-2026'!G46</f>
        <v>1.1757652247614001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5"/>
      <c r="B20" s="11" t="s">
        <v>176</v>
      </c>
      <c r="C20" s="13">
        <f>C19/C18</f>
        <v>0.34733654240234474</v>
      </c>
      <c r="D20" s="13">
        <f>D19/D18</f>
        <v>0.80276609323245629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5">
      <c r="A21" s="15" t="s">
        <v>182</v>
      </c>
      <c r="B21" s="11" t="s">
        <v>174</v>
      </c>
      <c r="C21" s="11">
        <v>2.20002816</v>
      </c>
      <c r="D21" s="11">
        <v>3.0000383999999998</v>
      </c>
      <c r="E21" s="11">
        <v>3.6000460799999998</v>
      </c>
      <c r="F21" s="11">
        <v>3.4000435200000001</v>
      </c>
      <c r="G21" s="11">
        <v>4.6000588800000006</v>
      </c>
      <c r="H21" s="11">
        <v>3.2000409599999999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</row>
    <row r="22" spans="1:14" x14ac:dyDescent="0.25">
      <c r="A22" s="15"/>
      <c r="B22" s="11" t="s">
        <v>175</v>
      </c>
      <c r="C22" s="11">
        <f>'[1]04-2026'!G57</f>
        <v>3.0152850062995</v>
      </c>
      <c r="D22" s="11">
        <f>'[1]05-2026'!G57</f>
        <v>2.5144411707120002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5">
      <c r="A23" s="15"/>
      <c r="B23" s="11" t="s">
        <v>176</v>
      </c>
      <c r="C23" s="13">
        <f>C22/C21</f>
        <v>1.3705665505206532</v>
      </c>
      <c r="D23" s="13">
        <f>D22/D21</f>
        <v>0.83813632875899202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25">
      <c r="A24" s="15" t="s">
        <v>183</v>
      </c>
      <c r="B24" s="11" t="s">
        <v>174</v>
      </c>
      <c r="C24" s="11">
        <v>2.1507854158131909</v>
      </c>
      <c r="D24" s="11">
        <v>3.2261781237197873</v>
      </c>
      <c r="E24" s="11">
        <v>3.3460075968865222</v>
      </c>
      <c r="F24" s="11">
        <v>4.7132926112249081</v>
      </c>
      <c r="G24" s="11">
        <v>5.214118358049979</v>
      </c>
      <c r="H24" s="11">
        <v>5.5428812716099953</v>
      </c>
      <c r="I24" s="11">
        <v>5.5613165751741089</v>
      </c>
      <c r="J24" s="11">
        <v>5.5797518787382234</v>
      </c>
      <c r="K24" s="11">
        <v>4.3200061351904955</v>
      </c>
      <c r="L24" s="11">
        <v>2.5625071954117167</v>
      </c>
      <c r="M24" s="11">
        <v>1.8681107611634575</v>
      </c>
      <c r="N24" s="11">
        <v>5.9156840770176169</v>
      </c>
    </row>
    <row r="25" spans="1:14" x14ac:dyDescent="0.25">
      <c r="A25" s="15"/>
      <c r="B25" s="11" t="s">
        <v>175</v>
      </c>
      <c r="C25" s="11">
        <f>'[1]04-2026'!G61</f>
        <v>0.94510000000000005</v>
      </c>
      <c r="D25" s="11">
        <f>'[1]05-2026'!G61</f>
        <v>0.37999999999999901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25">
      <c r="A26" s="15"/>
      <c r="B26" s="11" t="s">
        <v>176</v>
      </c>
      <c r="C26" s="13">
        <f>C25/C24</f>
        <v>0.43942087065095103</v>
      </c>
      <c r="D26" s="13">
        <f>D25/D24</f>
        <v>0.11778642884164701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5">
      <c r="A27" s="15" t="s">
        <v>184</v>
      </c>
      <c r="B27" s="11" t="s">
        <v>174</v>
      </c>
      <c r="C27" s="14">
        <v>0</v>
      </c>
      <c r="D27" s="14">
        <v>0</v>
      </c>
      <c r="E27" s="14">
        <v>0</v>
      </c>
      <c r="F27" s="14">
        <v>0</v>
      </c>
      <c r="G27" s="11">
        <v>0.22000281599999999</v>
      </c>
      <c r="H27" s="11">
        <v>0.28000358400000003</v>
      </c>
      <c r="I27" s="11">
        <v>0.32000409600000002</v>
      </c>
      <c r="J27" s="11">
        <v>0.18000230399999997</v>
      </c>
      <c r="K27" s="11">
        <v>0.30000383999999997</v>
      </c>
      <c r="L27" s="11">
        <v>0.26000332800000003</v>
      </c>
      <c r="M27" s="11">
        <v>0.24000307199999998</v>
      </c>
      <c r="N27" s="11">
        <v>0.20000256</v>
      </c>
    </row>
    <row r="28" spans="1:14" x14ac:dyDescent="0.25">
      <c r="A28" s="15"/>
      <c r="B28" s="11" t="s">
        <v>175</v>
      </c>
      <c r="C28" s="11">
        <f>'[1]04-2026'!G80</f>
        <v>0.2635577442</v>
      </c>
      <c r="D28" s="11">
        <f>'[1]05-2026'!G80</f>
        <v>6.588943605E-2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x14ac:dyDescent="0.25">
      <c r="A29" s="15"/>
      <c r="B29" s="11" t="s">
        <v>176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25">
      <c r="A30" s="15" t="s">
        <v>185</v>
      </c>
      <c r="B30" s="11" t="s">
        <v>174</v>
      </c>
      <c r="C30" s="11">
        <v>1.0977574445498852</v>
      </c>
      <c r="D30" s="11">
        <v>1.124658533575668</v>
      </c>
      <c r="E30" s="11">
        <v>1.124658533575668</v>
      </c>
      <c r="F30" s="11">
        <v>1.7278219646470332</v>
      </c>
      <c r="G30" s="11">
        <v>1.5828616867128822</v>
      </c>
      <c r="H30" s="11">
        <v>1.7487718411529125</v>
      </c>
      <c r="I30" s="11">
        <v>1.8681982005050424</v>
      </c>
      <c r="J30" s="11">
        <v>1.4820127610377496</v>
      </c>
      <c r="K30" s="11">
        <v>1.2090612030302543</v>
      </c>
      <c r="L30" s="11">
        <v>1.0398135442716292</v>
      </c>
      <c r="M30" s="11">
        <v>0.83811569292136479</v>
      </c>
      <c r="N30" s="11">
        <v>0.15646059401991219</v>
      </c>
    </row>
    <row r="31" spans="1:14" x14ac:dyDescent="0.25">
      <c r="A31" s="15"/>
      <c r="B31" s="11" t="s">
        <v>175</v>
      </c>
      <c r="C31" s="11">
        <f>'[1]04-2026'!G91</f>
        <v>1.6909780913312003</v>
      </c>
      <c r="D31" s="11">
        <f>'[1]05-2026'!G91</f>
        <v>1.3814687090919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x14ac:dyDescent="0.25">
      <c r="A32" s="15"/>
      <c r="B32" s="11" t="s">
        <v>176</v>
      </c>
      <c r="C32" s="13">
        <f>C31/C30</f>
        <v>1.5403931895215286</v>
      </c>
      <c r="D32" s="13">
        <f>D31/D30</f>
        <v>1.2283450201544694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x14ac:dyDescent="0.25">
      <c r="A33" s="15" t="s">
        <v>186</v>
      </c>
      <c r="B33" s="11" t="s">
        <v>174</v>
      </c>
      <c r="C33" s="11">
        <v>5.2383569258940961</v>
      </c>
      <c r="D33" s="11">
        <v>5.7546944970405196</v>
      </c>
      <c r="E33" s="11">
        <v>9.7656809460531377</v>
      </c>
      <c r="F33" s="11">
        <v>7.6170244438311983</v>
      </c>
      <c r="G33" s="11">
        <v>8.715123808895699</v>
      </c>
      <c r="H33" s="11">
        <v>8.4852124463509355</v>
      </c>
      <c r="I33" s="11">
        <v>11.71473693899104</v>
      </c>
      <c r="J33" s="11">
        <v>9.4856488298173254</v>
      </c>
      <c r="K33" s="11">
        <v>8.6468350365769577</v>
      </c>
      <c r="L33" s="11">
        <v>8.7742761102556006</v>
      </c>
      <c r="M33" s="11">
        <v>7.6389840739517281</v>
      </c>
      <c r="N33" s="11">
        <v>8.1647059423417581</v>
      </c>
    </row>
    <row r="34" spans="1:14" x14ac:dyDescent="0.25">
      <c r="A34" s="15"/>
      <c r="B34" s="11" t="s">
        <v>175</v>
      </c>
      <c r="C34" s="11">
        <f>'[1]04-2026'!G100</f>
        <v>3.7366644630400003</v>
      </c>
      <c r="D34" s="11">
        <f>'[1]05-2026'!G100</f>
        <v>3.4447375516171999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25">
      <c r="A35" s="15"/>
      <c r="B35" s="11" t="s">
        <v>176</v>
      </c>
      <c r="C35" s="13">
        <f>C34/C33</f>
        <v>0.71332757883851472</v>
      </c>
      <c r="D35" s="13">
        <f>D34/D33</f>
        <v>0.59859607723550456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x14ac:dyDescent="0.25">
      <c r="A36" s="15" t="s">
        <v>187</v>
      </c>
      <c r="B36" s="11" t="s">
        <v>174</v>
      </c>
      <c r="C36" s="11">
        <v>0.50469162054405048</v>
      </c>
      <c r="D36" s="11">
        <v>0.75703743081607577</v>
      </c>
      <c r="E36" s="11">
        <v>0.75703743081607577</v>
      </c>
      <c r="F36" s="11">
        <v>0.8691911242703092</v>
      </c>
      <c r="G36" s="11">
        <v>1.0912554373096912</v>
      </c>
      <c r="H36" s="11">
        <v>1.2022875938293827</v>
      </c>
      <c r="I36" s="11">
        <v>1.2022875938293827</v>
      </c>
      <c r="J36" s="11">
        <v>0.71778363810709378</v>
      </c>
      <c r="K36" s="11">
        <v>0.63703297882004606</v>
      </c>
      <c r="L36" s="11">
        <v>0.72908873040728084</v>
      </c>
      <c r="M36" s="11">
        <v>1.5422478694278554</v>
      </c>
      <c r="N36" s="11">
        <v>1.9902121518227547</v>
      </c>
    </row>
    <row r="37" spans="1:14" x14ac:dyDescent="0.25">
      <c r="A37" s="15"/>
      <c r="B37" s="11" t="s">
        <v>175</v>
      </c>
      <c r="C37" s="11">
        <v>0</v>
      </c>
      <c r="D37" s="11">
        <f>'[1]05-2026'!G103</f>
        <v>8.9700000000000002E-2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25">
      <c r="A38" s="15"/>
      <c r="B38" s="11" t="s">
        <v>176</v>
      </c>
      <c r="C38" s="13">
        <f>C37/C36</f>
        <v>0</v>
      </c>
      <c r="D38" s="13">
        <f>D37/D36</f>
        <v>0.11848819668441579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25">
      <c r="A39" s="15" t="s">
        <v>188</v>
      </c>
      <c r="B39" s="11" t="s">
        <v>174</v>
      </c>
      <c r="C39" s="11">
        <v>4.6718535319044596</v>
      </c>
      <c r="D39" s="11">
        <v>4.9195027372331941</v>
      </c>
      <c r="E39" s="11">
        <v>5.0016850709517851</v>
      </c>
      <c r="F39" s="11">
        <v>6.461415875407897</v>
      </c>
      <c r="G39" s="11">
        <v>7.3484312408807293</v>
      </c>
      <c r="H39" s="11">
        <v>7.6996624976978891</v>
      </c>
      <c r="I39" s="11">
        <v>7.1740277302483619</v>
      </c>
      <c r="J39" s="11">
        <v>7.825776017434114</v>
      </c>
      <c r="K39" s="11">
        <v>8.3542749277177855</v>
      </c>
      <c r="L39" s="11">
        <v>8.8409217891662859</v>
      </c>
      <c r="M39" s="11">
        <v>7.581073187846985</v>
      </c>
      <c r="N39" s="11">
        <v>9.1224633935105217</v>
      </c>
    </row>
    <row r="40" spans="1:14" x14ac:dyDescent="0.25">
      <c r="A40" s="15"/>
      <c r="B40" s="11" t="s">
        <v>175</v>
      </c>
      <c r="C40" s="11">
        <f>'[1]04-2026'!G116</f>
        <v>1.1355933580323998</v>
      </c>
      <c r="D40" s="11">
        <f>'[1]05-2026'!G116</f>
        <v>2.1503789088504002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5">
      <c r="A41" s="15"/>
      <c r="B41" s="11" t="s">
        <v>176</v>
      </c>
      <c r="C41" s="13">
        <f>C40/C39</f>
        <v>0.24307126716994495</v>
      </c>
      <c r="D41" s="13">
        <f>D40/D39</f>
        <v>0.43711306278483891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1:14" x14ac:dyDescent="0.25">
      <c r="A42" s="15" t="s">
        <v>189</v>
      </c>
      <c r="B42" s="11" t="s">
        <v>174</v>
      </c>
      <c r="C42" s="11">
        <v>5.000064000000001</v>
      </c>
      <c r="D42" s="11">
        <v>4.5000575999999999</v>
      </c>
      <c r="E42" s="11">
        <v>4.2500543999999998</v>
      </c>
      <c r="F42" s="11">
        <v>6.7500864000000007</v>
      </c>
      <c r="G42" s="11">
        <v>7.5000959999999992</v>
      </c>
      <c r="H42" s="11">
        <v>9.7501248</v>
      </c>
      <c r="I42" s="11">
        <v>10.2501312</v>
      </c>
      <c r="J42" s="11">
        <v>9.2501183999999981</v>
      </c>
      <c r="K42" s="11">
        <v>10.7501376</v>
      </c>
      <c r="L42" s="11">
        <v>10.000128000000002</v>
      </c>
      <c r="M42" s="11">
        <v>12.000153599999999</v>
      </c>
      <c r="N42" s="11">
        <v>10.000128000000002</v>
      </c>
    </row>
    <row r="43" spans="1:14" x14ac:dyDescent="0.25">
      <c r="A43" s="15"/>
      <c r="B43" s="11" t="s">
        <v>175</v>
      </c>
      <c r="C43" s="11">
        <f>'[1]04-2026'!G120</f>
        <v>2</v>
      </c>
      <c r="D43" s="11">
        <f>'[1]05-2026'!G120</f>
        <v>1.1799999999999997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x14ac:dyDescent="0.25">
      <c r="A44" s="15"/>
      <c r="B44" s="11" t="s">
        <v>176</v>
      </c>
      <c r="C44" s="13">
        <f>C43/C42</f>
        <v>0.39999488006553507</v>
      </c>
      <c r="D44" s="13">
        <f>D43/D42</f>
        <v>0.26221886582073967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14" x14ac:dyDescent="0.25">
      <c r="A45" s="15" t="s">
        <v>190</v>
      </c>
      <c r="B45" s="11" t="s">
        <v>174</v>
      </c>
      <c r="C45" s="11">
        <v>2.6595670676076399</v>
      </c>
      <c r="D45" s="11">
        <v>3.1755808953989049</v>
      </c>
      <c r="E45" s="11">
        <v>3.403366458190245</v>
      </c>
      <c r="F45" s="11">
        <v>3.9354441236304747</v>
      </c>
      <c r="G45" s="11">
        <v>4.4958706683018015</v>
      </c>
      <c r="H45" s="11">
        <v>4.6022073604688725</v>
      </c>
      <c r="I45" s="11">
        <v>5.1939084723975872</v>
      </c>
      <c r="J45" s="11">
        <v>5.501880819962083</v>
      </c>
      <c r="K45" s="11">
        <v>5.6187624853097615</v>
      </c>
      <c r="L45" s="11">
        <v>6.5595317748619797</v>
      </c>
      <c r="M45" s="11">
        <v>7.1260037920782118</v>
      </c>
      <c r="N45" s="11">
        <v>7.7286440817924191</v>
      </c>
    </row>
    <row r="46" spans="1:14" x14ac:dyDescent="0.25">
      <c r="A46" s="15"/>
      <c r="B46" s="11" t="s">
        <v>175</v>
      </c>
      <c r="C46" s="11">
        <f>'[1]04-2026'!G124</f>
        <v>1.2799999999999976</v>
      </c>
      <c r="D46" s="11">
        <f>'[1]05-2026'!G124</f>
        <v>1.3300000000000018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5">
      <c r="A47" s="15"/>
      <c r="B47" s="11" t="s">
        <v>176</v>
      </c>
      <c r="C47" s="13">
        <f>C46/C45</f>
        <v>0.48128133920360044</v>
      </c>
      <c r="D47" s="13">
        <f>D46/D45</f>
        <v>0.41882101064628435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x14ac:dyDescent="0.25">
      <c r="A48" s="15" t="s">
        <v>191</v>
      </c>
      <c r="B48" s="11" t="s">
        <v>174</v>
      </c>
      <c r="C48" s="11">
        <v>3.851715993977133</v>
      </c>
      <c r="D48" s="11">
        <v>2.9214944875374615</v>
      </c>
      <c r="E48" s="11">
        <v>2.8839921728742728</v>
      </c>
      <c r="F48" s="11">
        <v>3.5083818473945545</v>
      </c>
      <c r="G48" s="11">
        <v>5.3628329632092369</v>
      </c>
      <c r="H48" s="11">
        <v>5.1087723446552147</v>
      </c>
      <c r="I48" s="11">
        <v>6.7418686357389728</v>
      </c>
      <c r="J48" s="11">
        <v>5.025409734862289</v>
      </c>
      <c r="K48" s="11">
        <v>5.1453710213917976</v>
      </c>
      <c r="L48" s="11">
        <v>5.801537877079646</v>
      </c>
      <c r="M48" s="11">
        <v>5.8003366017350793</v>
      </c>
      <c r="N48" s="11">
        <v>7.8490543195443472</v>
      </c>
    </row>
    <row r="49" spans="1:14" x14ac:dyDescent="0.25">
      <c r="A49" s="15"/>
      <c r="B49" s="11" t="s">
        <v>175</v>
      </c>
      <c r="C49" s="11">
        <f>'[1]04-2026'!G134</f>
        <v>1.3259925238488002</v>
      </c>
      <c r="D49" s="11">
        <f>'[1]05-2026'!G134</f>
        <v>1.3454924141262001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x14ac:dyDescent="0.25">
      <c r="A50" s="15"/>
      <c r="B50" s="11" t="s">
        <v>176</v>
      </c>
      <c r="C50" s="13">
        <f>C49/C48</f>
        <v>0.3442602014069141</v>
      </c>
      <c r="D50" s="13">
        <f>D49/D48</f>
        <v>0.46054935919469103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x14ac:dyDescent="0.25">
      <c r="A51" s="15" t="s">
        <v>192</v>
      </c>
      <c r="B51" s="11" t="s">
        <v>174</v>
      </c>
      <c r="C51" s="11">
        <v>0.45310295361019598</v>
      </c>
      <c r="D51" s="11">
        <v>0.53897109380569197</v>
      </c>
      <c r="E51" s="11">
        <v>0.74473059955716359</v>
      </c>
      <c r="F51" s="11">
        <v>0.59729662299508568</v>
      </c>
      <c r="G51" s="11">
        <v>0.70317237417353917</v>
      </c>
      <c r="H51" s="11">
        <v>0.74886070537189753</v>
      </c>
      <c r="I51" s="11">
        <v>0.46673796047801624</v>
      </c>
      <c r="J51" s="11">
        <v>0.58943759225422176</v>
      </c>
      <c r="K51" s="11">
        <v>0.30213035587683901</v>
      </c>
      <c r="L51" s="11">
        <v>0.31545161871639177</v>
      </c>
      <c r="M51" s="11">
        <v>0.30285042413843638</v>
      </c>
      <c r="N51" s="11">
        <v>0.23733449902251977</v>
      </c>
    </row>
    <row r="52" spans="1:14" x14ac:dyDescent="0.25">
      <c r="A52" s="15"/>
      <c r="B52" s="11" t="s">
        <v>175</v>
      </c>
      <c r="C52" s="11">
        <f>'[1]04-2026'!G142</f>
        <v>0.30768838697489997</v>
      </c>
      <c r="D52" s="11">
        <f>'[1]05-2026'!G142</f>
        <v>7.9600975667200008E-2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25">
      <c r="A53" s="15"/>
      <c r="B53" s="11" t="s">
        <v>176</v>
      </c>
      <c r="C53" s="13">
        <f>C52/C51</f>
        <v>0.67906947973595422</v>
      </c>
      <c r="D53" s="13">
        <f>D52/D51</f>
        <v>0.14769062122633517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 x14ac:dyDescent="0.25">
      <c r="A54" s="15" t="s">
        <v>193</v>
      </c>
      <c r="B54" s="11" t="s">
        <v>174</v>
      </c>
      <c r="C54" s="11">
        <v>3.3000422399999998</v>
      </c>
      <c r="D54" s="11">
        <v>3.9000499200000003</v>
      </c>
      <c r="E54" s="11">
        <v>3.6000460799999994</v>
      </c>
      <c r="F54" s="11">
        <v>5.1000652800000008</v>
      </c>
      <c r="G54" s="11">
        <v>4.6500595200000001</v>
      </c>
      <c r="H54" s="11">
        <v>4.9500633599999997</v>
      </c>
      <c r="I54" s="11">
        <v>5.4000691199999995</v>
      </c>
      <c r="J54" s="11">
        <v>5.7000729600000009</v>
      </c>
      <c r="K54" s="11">
        <v>5.1000652800000008</v>
      </c>
      <c r="L54" s="11">
        <v>5.5500710399999997</v>
      </c>
      <c r="M54" s="11">
        <v>6.30008064</v>
      </c>
      <c r="N54" s="11">
        <v>6.4500825600000002</v>
      </c>
    </row>
    <row r="55" spans="1:14" x14ac:dyDescent="0.25">
      <c r="A55" s="15"/>
      <c r="B55" s="11" t="s">
        <v>175</v>
      </c>
      <c r="C55" s="11">
        <f>'[1]04-2026'!G146</f>
        <v>2.6800000000000006</v>
      </c>
      <c r="D55" s="11">
        <f>'[1]05-2026'!G146</f>
        <v>1.5712999999999997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x14ac:dyDescent="0.25">
      <c r="A56" s="15"/>
      <c r="B56" s="11" t="s">
        <v>176</v>
      </c>
      <c r="C56" s="13">
        <f>C55/C54</f>
        <v>0.81211081710275346</v>
      </c>
      <c r="D56" s="13">
        <f>D55/D54</f>
        <v>0.40289227887626616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x14ac:dyDescent="0.25">
      <c r="A57" s="15" t="s">
        <v>194</v>
      </c>
      <c r="B57" s="11" t="s">
        <v>174</v>
      </c>
      <c r="C57" s="11">
        <v>1.10001408</v>
      </c>
      <c r="D57" s="11">
        <v>1.250016</v>
      </c>
      <c r="E57" s="11">
        <v>1.1500147200000002</v>
      </c>
      <c r="F57" s="11">
        <v>1.70002176</v>
      </c>
      <c r="G57" s="11">
        <v>1.8000230399999997</v>
      </c>
      <c r="H57" s="11">
        <v>2.0500262399999998</v>
      </c>
      <c r="I57" s="11">
        <v>1.8000230399999997</v>
      </c>
      <c r="J57" s="11">
        <v>1.9000243199999998</v>
      </c>
      <c r="K57" s="11">
        <v>1.8500236800000001</v>
      </c>
      <c r="L57" s="11">
        <v>1.8000230399999997</v>
      </c>
      <c r="M57" s="11">
        <v>2.20002816</v>
      </c>
      <c r="N57" s="11">
        <v>1.40001792</v>
      </c>
    </row>
    <row r="58" spans="1:14" x14ac:dyDescent="0.25">
      <c r="A58" s="15"/>
      <c r="B58" s="11" t="s">
        <v>175</v>
      </c>
      <c r="C58" s="11">
        <f>'[1]04-2026'!G151</f>
        <v>0.79</v>
      </c>
      <c r="D58" s="11">
        <f>'[1]05-2026'!G151</f>
        <v>0.97999999999999865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x14ac:dyDescent="0.25">
      <c r="A59" s="15"/>
      <c r="B59" s="11" t="s">
        <v>176</v>
      </c>
      <c r="C59" s="13">
        <f>C58/C57</f>
        <v>0.71817262557221084</v>
      </c>
      <c r="D59" s="13">
        <f>D58/D57</f>
        <v>0.78398996492844786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</sheetData>
  <mergeCells count="19">
    <mergeCell ref="A36:A38"/>
    <mergeCell ref="A1:N1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57:A59"/>
    <mergeCell ref="A39:A41"/>
    <mergeCell ref="A42:A44"/>
    <mergeCell ref="A45:A47"/>
    <mergeCell ref="A48:A50"/>
    <mergeCell ref="A51:A53"/>
    <mergeCell ref="A54:A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workbookViewId="0"/>
  </sheetViews>
  <sheetFormatPr defaultRowHeight="15.75" x14ac:dyDescent="0.25"/>
  <sheetData>
    <row r="1" spans="1:13" x14ac:dyDescent="0.25">
      <c r="A1" t="s">
        <v>42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</row>
    <row r="2" spans="1:13" x14ac:dyDescent="0.25">
      <c r="A2" t="s">
        <v>43</v>
      </c>
      <c r="B2" t="s">
        <v>88</v>
      </c>
      <c r="C2">
        <v>14</v>
      </c>
      <c r="D2">
        <v>11</v>
      </c>
      <c r="E2">
        <v>3</v>
      </c>
      <c r="F2">
        <v>1</v>
      </c>
      <c r="G2">
        <v>2</v>
      </c>
      <c r="H2">
        <v>14</v>
      </c>
      <c r="I2">
        <v>0</v>
      </c>
      <c r="J2">
        <v>9600</v>
      </c>
      <c r="K2">
        <v>9900</v>
      </c>
      <c r="L2">
        <v>16800</v>
      </c>
      <c r="M2">
        <v>16800</v>
      </c>
    </row>
    <row r="3" spans="1:13" x14ac:dyDescent="0.25">
      <c r="A3" t="s">
        <v>43</v>
      </c>
      <c r="B3" t="s">
        <v>89</v>
      </c>
      <c r="C3">
        <v>14</v>
      </c>
      <c r="D3">
        <v>11</v>
      </c>
      <c r="E3">
        <v>3</v>
      </c>
      <c r="F3">
        <v>1</v>
      </c>
      <c r="G3">
        <v>2</v>
      </c>
      <c r="H3">
        <v>14</v>
      </c>
      <c r="I3">
        <v>0</v>
      </c>
      <c r="J3">
        <v>9600</v>
      </c>
      <c r="K3">
        <v>9900</v>
      </c>
      <c r="L3">
        <v>16800</v>
      </c>
      <c r="M3">
        <v>16800</v>
      </c>
    </row>
    <row r="4" spans="1:13" x14ac:dyDescent="0.25">
      <c r="A4" t="s">
        <v>43</v>
      </c>
      <c r="B4" t="s">
        <v>90</v>
      </c>
      <c r="C4">
        <v>28</v>
      </c>
      <c r="D4">
        <v>25</v>
      </c>
      <c r="E4">
        <v>0</v>
      </c>
      <c r="F4">
        <v>0</v>
      </c>
      <c r="G4">
        <v>3</v>
      </c>
      <c r="H4">
        <v>28</v>
      </c>
      <c r="I4">
        <v>0</v>
      </c>
      <c r="J4">
        <v>9600</v>
      </c>
      <c r="K4">
        <v>9900</v>
      </c>
      <c r="L4">
        <v>28800</v>
      </c>
      <c r="M4">
        <v>33600</v>
      </c>
    </row>
    <row r="5" spans="1:13" x14ac:dyDescent="0.25">
      <c r="A5" t="s">
        <v>44</v>
      </c>
      <c r="B5" t="s">
        <v>91</v>
      </c>
      <c r="C5">
        <v>14</v>
      </c>
      <c r="D5">
        <v>11</v>
      </c>
      <c r="E5">
        <v>3</v>
      </c>
      <c r="F5">
        <v>1</v>
      </c>
      <c r="G5">
        <v>2</v>
      </c>
      <c r="H5">
        <v>14</v>
      </c>
      <c r="I5">
        <v>0</v>
      </c>
      <c r="J5">
        <v>9600</v>
      </c>
      <c r="K5">
        <v>9900</v>
      </c>
      <c r="L5">
        <v>16800</v>
      </c>
      <c r="M5">
        <v>16800</v>
      </c>
    </row>
    <row r="6" spans="1:13" x14ac:dyDescent="0.25">
      <c r="A6" t="s">
        <v>44</v>
      </c>
      <c r="B6" t="s">
        <v>92</v>
      </c>
      <c r="C6">
        <v>14</v>
      </c>
      <c r="D6">
        <v>11</v>
      </c>
      <c r="E6">
        <v>3</v>
      </c>
      <c r="F6">
        <v>1</v>
      </c>
      <c r="G6">
        <v>2</v>
      </c>
      <c r="H6">
        <v>14</v>
      </c>
      <c r="I6">
        <v>0</v>
      </c>
      <c r="J6">
        <v>9600</v>
      </c>
      <c r="K6">
        <v>9900</v>
      </c>
      <c r="L6">
        <v>16800</v>
      </c>
      <c r="M6">
        <v>16800</v>
      </c>
    </row>
    <row r="7" spans="1:13" x14ac:dyDescent="0.25">
      <c r="A7" t="s">
        <v>44</v>
      </c>
      <c r="B7" t="s">
        <v>90</v>
      </c>
      <c r="C7">
        <v>28</v>
      </c>
      <c r="D7">
        <v>28</v>
      </c>
      <c r="E7">
        <v>0</v>
      </c>
      <c r="F7">
        <v>0</v>
      </c>
      <c r="G7">
        <v>0</v>
      </c>
      <c r="H7">
        <v>28</v>
      </c>
      <c r="I7">
        <v>0</v>
      </c>
      <c r="J7">
        <v>9600</v>
      </c>
      <c r="K7">
        <v>9900</v>
      </c>
      <c r="L7">
        <v>28800</v>
      </c>
      <c r="M7">
        <v>33600</v>
      </c>
    </row>
    <row r="8" spans="1:13" x14ac:dyDescent="0.25">
      <c r="A8" t="s">
        <v>45</v>
      </c>
      <c r="B8" t="s">
        <v>93</v>
      </c>
      <c r="C8">
        <v>14</v>
      </c>
      <c r="D8">
        <v>11</v>
      </c>
      <c r="E8">
        <v>3</v>
      </c>
      <c r="F8">
        <v>1</v>
      </c>
      <c r="G8">
        <v>2</v>
      </c>
      <c r="H8">
        <v>14</v>
      </c>
      <c r="I8">
        <v>0</v>
      </c>
      <c r="J8">
        <v>9600</v>
      </c>
      <c r="K8">
        <v>9900</v>
      </c>
      <c r="L8">
        <v>16800</v>
      </c>
      <c r="M8">
        <v>16800</v>
      </c>
    </row>
    <row r="9" spans="1:13" x14ac:dyDescent="0.25">
      <c r="A9" t="s">
        <v>45</v>
      </c>
      <c r="B9" t="s">
        <v>94</v>
      </c>
      <c r="C9">
        <v>14</v>
      </c>
      <c r="D9">
        <v>11</v>
      </c>
      <c r="E9">
        <v>3</v>
      </c>
      <c r="F9">
        <v>1</v>
      </c>
      <c r="G9">
        <v>2</v>
      </c>
      <c r="H9">
        <v>14</v>
      </c>
      <c r="I9">
        <v>0</v>
      </c>
      <c r="J9">
        <v>9600</v>
      </c>
      <c r="K9">
        <v>9900</v>
      </c>
      <c r="L9">
        <v>16800</v>
      </c>
      <c r="M9">
        <v>16800</v>
      </c>
    </row>
    <row r="10" spans="1:13" x14ac:dyDescent="0.25">
      <c r="A10" t="s">
        <v>45</v>
      </c>
      <c r="B10" t="s">
        <v>95</v>
      </c>
      <c r="C10">
        <v>4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9600</v>
      </c>
      <c r="K10">
        <v>9900</v>
      </c>
      <c r="L10">
        <v>4800</v>
      </c>
      <c r="M10">
        <v>0</v>
      </c>
    </row>
    <row r="11" spans="1:13" x14ac:dyDescent="0.25">
      <c r="A11" t="s">
        <v>45</v>
      </c>
      <c r="B11" t="s">
        <v>90</v>
      </c>
      <c r="C11">
        <v>32</v>
      </c>
      <c r="D11">
        <v>26</v>
      </c>
      <c r="E11">
        <v>0</v>
      </c>
      <c r="F11">
        <v>0</v>
      </c>
      <c r="G11">
        <v>2</v>
      </c>
      <c r="H11">
        <v>28</v>
      </c>
      <c r="I11">
        <v>4</v>
      </c>
      <c r="J11">
        <v>9600</v>
      </c>
      <c r="K11">
        <v>9900</v>
      </c>
      <c r="L11">
        <v>32400</v>
      </c>
      <c r="M11">
        <v>33600</v>
      </c>
    </row>
    <row r="12" spans="1:13" x14ac:dyDescent="0.25">
      <c r="A12" t="s">
        <v>46</v>
      </c>
      <c r="B12" t="s">
        <v>96</v>
      </c>
      <c r="C12">
        <v>42</v>
      </c>
      <c r="D12">
        <v>34</v>
      </c>
      <c r="E12">
        <v>8</v>
      </c>
      <c r="F12">
        <v>2</v>
      </c>
      <c r="G12">
        <v>6</v>
      </c>
      <c r="H12">
        <v>42</v>
      </c>
      <c r="I12">
        <v>0</v>
      </c>
      <c r="J12">
        <v>11100</v>
      </c>
      <c r="K12">
        <v>11400</v>
      </c>
      <c r="L12">
        <v>50400</v>
      </c>
      <c r="M12">
        <v>50400</v>
      </c>
    </row>
    <row r="13" spans="1:13" x14ac:dyDescent="0.25">
      <c r="A13" t="s">
        <v>46</v>
      </c>
      <c r="B13" t="s">
        <v>97</v>
      </c>
      <c r="C13">
        <v>42</v>
      </c>
      <c r="D13">
        <v>26</v>
      </c>
      <c r="E13">
        <v>16</v>
      </c>
      <c r="F13">
        <v>2</v>
      </c>
      <c r="G13">
        <v>5</v>
      </c>
      <c r="H13">
        <v>32</v>
      </c>
      <c r="I13">
        <v>0</v>
      </c>
      <c r="J13">
        <v>11100</v>
      </c>
      <c r="K13">
        <v>11400</v>
      </c>
      <c r="L13">
        <v>50400</v>
      </c>
      <c r="M13">
        <v>38400</v>
      </c>
    </row>
    <row r="14" spans="1:13" x14ac:dyDescent="0.25">
      <c r="A14" t="s">
        <v>46</v>
      </c>
      <c r="B14" t="s">
        <v>90</v>
      </c>
      <c r="C14">
        <v>84</v>
      </c>
      <c r="D14">
        <v>76</v>
      </c>
      <c r="E14">
        <v>0</v>
      </c>
      <c r="F14">
        <v>0</v>
      </c>
      <c r="G14">
        <v>-2</v>
      </c>
      <c r="H14">
        <v>74</v>
      </c>
      <c r="I14">
        <v>10</v>
      </c>
      <c r="J14">
        <v>11100</v>
      </c>
      <c r="K14">
        <v>11400</v>
      </c>
      <c r="L14">
        <v>56800</v>
      </c>
      <c r="M14">
        <v>59200</v>
      </c>
    </row>
    <row r="15" spans="1:13" x14ac:dyDescent="0.25">
      <c r="A15" t="s">
        <v>47</v>
      </c>
      <c r="B15" t="s">
        <v>98</v>
      </c>
      <c r="C15">
        <v>12</v>
      </c>
      <c r="D15">
        <v>9</v>
      </c>
      <c r="E15">
        <v>3</v>
      </c>
      <c r="F15">
        <v>1</v>
      </c>
      <c r="G15">
        <v>2</v>
      </c>
      <c r="H15">
        <v>11</v>
      </c>
      <c r="I15">
        <v>0</v>
      </c>
      <c r="J15">
        <v>9600</v>
      </c>
      <c r="K15">
        <v>9900</v>
      </c>
      <c r="L15">
        <v>14400</v>
      </c>
      <c r="M15">
        <v>13200</v>
      </c>
    </row>
    <row r="16" spans="1:13" x14ac:dyDescent="0.25">
      <c r="A16" t="s">
        <v>47</v>
      </c>
      <c r="B16" t="s">
        <v>99</v>
      </c>
      <c r="C16">
        <v>12</v>
      </c>
      <c r="D16">
        <v>9</v>
      </c>
      <c r="E16">
        <v>3</v>
      </c>
      <c r="F16">
        <v>1</v>
      </c>
      <c r="G16">
        <v>2</v>
      </c>
      <c r="H16">
        <v>11</v>
      </c>
      <c r="I16">
        <v>0</v>
      </c>
      <c r="J16">
        <v>9600</v>
      </c>
      <c r="K16">
        <v>9900</v>
      </c>
      <c r="L16">
        <v>14400</v>
      </c>
      <c r="M16">
        <v>13200</v>
      </c>
    </row>
    <row r="17" spans="1:13" x14ac:dyDescent="0.25">
      <c r="A17" t="s">
        <v>47</v>
      </c>
      <c r="B17" t="s">
        <v>100</v>
      </c>
      <c r="C17">
        <v>12</v>
      </c>
      <c r="D17">
        <v>10</v>
      </c>
      <c r="E17">
        <v>2</v>
      </c>
      <c r="F17">
        <v>1</v>
      </c>
      <c r="G17">
        <v>2</v>
      </c>
      <c r="H17">
        <v>12</v>
      </c>
      <c r="I17">
        <v>0</v>
      </c>
      <c r="J17">
        <v>9600</v>
      </c>
      <c r="K17">
        <v>9900</v>
      </c>
      <c r="L17">
        <v>14400</v>
      </c>
      <c r="M17">
        <v>14400</v>
      </c>
    </row>
    <row r="18" spans="1:13" x14ac:dyDescent="0.25">
      <c r="A18" t="s">
        <v>47</v>
      </c>
      <c r="B18" t="s">
        <v>101</v>
      </c>
      <c r="C18">
        <v>12</v>
      </c>
      <c r="D18">
        <v>8</v>
      </c>
      <c r="E18">
        <v>4</v>
      </c>
      <c r="F18">
        <v>1</v>
      </c>
      <c r="G18">
        <v>2</v>
      </c>
      <c r="H18">
        <v>10</v>
      </c>
      <c r="I18">
        <v>0</v>
      </c>
      <c r="J18">
        <v>9600</v>
      </c>
      <c r="K18">
        <v>9900</v>
      </c>
      <c r="L18">
        <v>14400</v>
      </c>
      <c r="M18">
        <v>12000</v>
      </c>
    </row>
    <row r="19" spans="1:13" x14ac:dyDescent="0.25">
      <c r="A19" t="s">
        <v>47</v>
      </c>
      <c r="B19" t="s">
        <v>102</v>
      </c>
      <c r="C19">
        <v>12</v>
      </c>
      <c r="D19">
        <v>10</v>
      </c>
      <c r="E19">
        <v>2</v>
      </c>
      <c r="F19">
        <v>1</v>
      </c>
      <c r="G19">
        <v>2</v>
      </c>
      <c r="H19">
        <v>12</v>
      </c>
      <c r="I19">
        <v>0</v>
      </c>
      <c r="J19">
        <v>9600</v>
      </c>
      <c r="K19">
        <v>9900</v>
      </c>
      <c r="L19">
        <v>14400</v>
      </c>
      <c r="M19">
        <v>14400</v>
      </c>
    </row>
    <row r="20" spans="1:13" x14ac:dyDescent="0.25">
      <c r="A20" t="s">
        <v>47</v>
      </c>
      <c r="B20" t="s">
        <v>103</v>
      </c>
      <c r="C20">
        <v>12</v>
      </c>
      <c r="D20">
        <v>10</v>
      </c>
      <c r="E20">
        <v>2</v>
      </c>
      <c r="F20">
        <v>1</v>
      </c>
      <c r="G20">
        <v>2</v>
      </c>
      <c r="H20">
        <v>12</v>
      </c>
      <c r="I20">
        <v>0</v>
      </c>
      <c r="J20">
        <v>9600</v>
      </c>
      <c r="K20">
        <v>9900</v>
      </c>
      <c r="L20">
        <v>14400</v>
      </c>
      <c r="M20">
        <v>14400</v>
      </c>
    </row>
    <row r="21" spans="1:13" x14ac:dyDescent="0.25">
      <c r="A21" t="s">
        <v>47</v>
      </c>
      <c r="B21" t="s">
        <v>104</v>
      </c>
      <c r="C21">
        <v>12</v>
      </c>
      <c r="D21">
        <v>7</v>
      </c>
      <c r="E21">
        <v>5</v>
      </c>
      <c r="F21">
        <v>0</v>
      </c>
      <c r="G21">
        <v>1</v>
      </c>
      <c r="H21">
        <v>9</v>
      </c>
      <c r="I21">
        <v>0</v>
      </c>
      <c r="J21">
        <v>9600</v>
      </c>
      <c r="K21">
        <v>9900</v>
      </c>
      <c r="L21">
        <v>14400</v>
      </c>
      <c r="M21">
        <v>10800</v>
      </c>
    </row>
    <row r="22" spans="1:13" x14ac:dyDescent="0.25">
      <c r="A22" t="s">
        <v>47</v>
      </c>
      <c r="B22" t="s">
        <v>90</v>
      </c>
      <c r="C22">
        <v>84</v>
      </c>
      <c r="D22">
        <v>47</v>
      </c>
      <c r="E22">
        <v>0</v>
      </c>
      <c r="F22">
        <v>1</v>
      </c>
      <c r="G22">
        <v>30</v>
      </c>
      <c r="H22">
        <v>77</v>
      </c>
      <c r="I22">
        <v>7</v>
      </c>
      <c r="J22">
        <v>9600</v>
      </c>
      <c r="K22">
        <v>9900</v>
      </c>
      <c r="L22">
        <v>85200</v>
      </c>
      <c r="M22">
        <v>92400</v>
      </c>
    </row>
    <row r="23" spans="1:13" x14ac:dyDescent="0.25">
      <c r="A23" t="s">
        <v>48</v>
      </c>
      <c r="B23" t="s">
        <v>105</v>
      </c>
      <c r="C23">
        <v>56</v>
      </c>
      <c r="D23">
        <v>6</v>
      </c>
      <c r="E23">
        <v>50</v>
      </c>
      <c r="F23">
        <v>0</v>
      </c>
      <c r="G23">
        <v>1</v>
      </c>
      <c r="H23">
        <v>7</v>
      </c>
      <c r="I23">
        <v>0</v>
      </c>
      <c r="J23">
        <v>12600</v>
      </c>
      <c r="K23">
        <v>12900</v>
      </c>
      <c r="L23">
        <v>67200</v>
      </c>
      <c r="M23">
        <v>8400</v>
      </c>
    </row>
    <row r="24" spans="1:13" x14ac:dyDescent="0.25">
      <c r="A24" t="s">
        <v>48</v>
      </c>
      <c r="B24" t="s">
        <v>90</v>
      </c>
      <c r="C24">
        <v>56</v>
      </c>
      <c r="D24">
        <v>0</v>
      </c>
      <c r="E24">
        <v>0</v>
      </c>
      <c r="F24">
        <v>0</v>
      </c>
      <c r="G24">
        <v>7</v>
      </c>
      <c r="H24">
        <v>7</v>
      </c>
      <c r="I24">
        <v>49</v>
      </c>
      <c r="J24">
        <v>12600</v>
      </c>
      <c r="K24">
        <v>12900</v>
      </c>
      <c r="L24">
        <v>105600</v>
      </c>
      <c r="M24">
        <v>15400</v>
      </c>
    </row>
    <row r="25" spans="1:13" x14ac:dyDescent="0.25">
      <c r="A25" t="s">
        <v>49</v>
      </c>
      <c r="B25" t="s">
        <v>106</v>
      </c>
      <c r="C25">
        <v>114</v>
      </c>
      <c r="D25">
        <v>63</v>
      </c>
      <c r="E25">
        <v>51</v>
      </c>
      <c r="F25">
        <v>4</v>
      </c>
      <c r="G25">
        <v>12</v>
      </c>
      <c r="H25">
        <v>79</v>
      </c>
      <c r="I25">
        <v>0</v>
      </c>
      <c r="J25">
        <v>9600</v>
      </c>
      <c r="K25">
        <v>9900</v>
      </c>
      <c r="L25">
        <v>136800</v>
      </c>
      <c r="M25">
        <v>94800</v>
      </c>
    </row>
    <row r="26" spans="1:13" x14ac:dyDescent="0.25">
      <c r="A26" t="s">
        <v>49</v>
      </c>
      <c r="B26" t="s">
        <v>107</v>
      </c>
      <c r="C26">
        <v>118</v>
      </c>
      <c r="D26">
        <v>74</v>
      </c>
      <c r="E26">
        <v>44</v>
      </c>
      <c r="F26">
        <v>5</v>
      </c>
      <c r="G26">
        <v>14</v>
      </c>
      <c r="H26">
        <v>92</v>
      </c>
      <c r="I26">
        <v>0</v>
      </c>
      <c r="J26">
        <v>9600</v>
      </c>
      <c r="K26">
        <v>9900</v>
      </c>
      <c r="L26">
        <v>141600</v>
      </c>
      <c r="M26">
        <v>110400</v>
      </c>
    </row>
    <row r="27" spans="1:13" x14ac:dyDescent="0.25">
      <c r="A27" t="s">
        <v>49</v>
      </c>
      <c r="B27" t="s">
        <v>108</v>
      </c>
      <c r="C27">
        <v>25</v>
      </c>
      <c r="D27">
        <v>15</v>
      </c>
      <c r="E27">
        <v>10</v>
      </c>
      <c r="F27">
        <v>1</v>
      </c>
      <c r="G27">
        <v>3</v>
      </c>
      <c r="H27">
        <v>19</v>
      </c>
      <c r="I27">
        <v>0</v>
      </c>
      <c r="J27">
        <v>9600</v>
      </c>
      <c r="K27">
        <v>9900</v>
      </c>
      <c r="L27">
        <v>30000</v>
      </c>
      <c r="M27">
        <v>22800</v>
      </c>
    </row>
    <row r="28" spans="1:13" x14ac:dyDescent="0.25">
      <c r="A28" t="s">
        <v>49</v>
      </c>
      <c r="B28" t="s">
        <v>109</v>
      </c>
      <c r="C28">
        <v>114</v>
      </c>
      <c r="D28">
        <v>72</v>
      </c>
      <c r="E28">
        <v>42</v>
      </c>
      <c r="F28">
        <v>5</v>
      </c>
      <c r="G28">
        <v>14</v>
      </c>
      <c r="H28">
        <v>90</v>
      </c>
      <c r="I28">
        <v>0</v>
      </c>
      <c r="J28">
        <v>9600</v>
      </c>
      <c r="K28">
        <v>9900</v>
      </c>
      <c r="L28">
        <v>136800</v>
      </c>
      <c r="M28">
        <v>108000</v>
      </c>
    </row>
    <row r="29" spans="1:13" x14ac:dyDescent="0.25">
      <c r="A29" t="s">
        <v>49</v>
      </c>
      <c r="B29" t="s">
        <v>110</v>
      </c>
      <c r="C29">
        <v>118</v>
      </c>
      <c r="D29">
        <v>65</v>
      </c>
      <c r="E29">
        <v>53</v>
      </c>
      <c r="F29">
        <v>4</v>
      </c>
      <c r="G29">
        <v>12</v>
      </c>
      <c r="H29">
        <v>81</v>
      </c>
      <c r="I29">
        <v>0</v>
      </c>
      <c r="J29">
        <v>9600</v>
      </c>
      <c r="K29">
        <v>9900</v>
      </c>
      <c r="L29">
        <v>141600</v>
      </c>
      <c r="M29">
        <v>97200</v>
      </c>
    </row>
    <row r="30" spans="1:13" x14ac:dyDescent="0.25">
      <c r="A30" t="s">
        <v>49</v>
      </c>
      <c r="B30" t="s">
        <v>111</v>
      </c>
      <c r="C30">
        <v>118</v>
      </c>
      <c r="D30">
        <v>59</v>
      </c>
      <c r="E30">
        <v>59</v>
      </c>
      <c r="F30">
        <v>4</v>
      </c>
      <c r="G30">
        <v>11</v>
      </c>
      <c r="H30">
        <v>74</v>
      </c>
      <c r="I30">
        <v>0</v>
      </c>
      <c r="J30">
        <v>9600</v>
      </c>
      <c r="K30">
        <v>9900</v>
      </c>
      <c r="L30">
        <v>141600</v>
      </c>
      <c r="M30">
        <v>88800</v>
      </c>
    </row>
    <row r="31" spans="1:13" x14ac:dyDescent="0.25">
      <c r="A31" t="s">
        <v>49</v>
      </c>
      <c r="B31" t="s">
        <v>112</v>
      </c>
      <c r="C31">
        <v>114</v>
      </c>
      <c r="D31">
        <v>66</v>
      </c>
      <c r="E31">
        <v>48</v>
      </c>
      <c r="F31">
        <v>4</v>
      </c>
      <c r="G31">
        <v>12</v>
      </c>
      <c r="H31">
        <v>82</v>
      </c>
      <c r="I31">
        <v>0</v>
      </c>
      <c r="J31">
        <v>9600</v>
      </c>
      <c r="K31">
        <v>9900</v>
      </c>
      <c r="L31">
        <v>136800</v>
      </c>
      <c r="M31">
        <v>98400</v>
      </c>
    </row>
    <row r="32" spans="1:13" x14ac:dyDescent="0.25">
      <c r="A32" t="s">
        <v>49</v>
      </c>
      <c r="B32" t="s">
        <v>113</v>
      </c>
      <c r="C32">
        <v>6</v>
      </c>
      <c r="D32">
        <v>2</v>
      </c>
      <c r="E32">
        <v>4</v>
      </c>
      <c r="F32">
        <v>0</v>
      </c>
      <c r="G32">
        <v>0</v>
      </c>
      <c r="H32">
        <v>3</v>
      </c>
      <c r="I32">
        <v>0</v>
      </c>
      <c r="J32">
        <v>9600</v>
      </c>
      <c r="K32">
        <v>9900</v>
      </c>
      <c r="L32">
        <v>7200</v>
      </c>
      <c r="M32">
        <v>3600</v>
      </c>
    </row>
    <row r="33" spans="1:13" x14ac:dyDescent="0.25">
      <c r="A33" t="s">
        <v>49</v>
      </c>
      <c r="B33" t="s">
        <v>90</v>
      </c>
      <c r="C33">
        <v>727</v>
      </c>
      <c r="D33">
        <v>401</v>
      </c>
      <c r="E33">
        <v>0</v>
      </c>
      <c r="F33">
        <v>7</v>
      </c>
      <c r="G33">
        <v>119</v>
      </c>
      <c r="H33">
        <v>520</v>
      </c>
      <c r="I33">
        <v>207</v>
      </c>
      <c r="J33">
        <v>9600</v>
      </c>
      <c r="K33">
        <v>9900</v>
      </c>
      <c r="L33">
        <v>741600</v>
      </c>
      <c r="M33">
        <v>624000</v>
      </c>
    </row>
    <row r="34" spans="1:13" x14ac:dyDescent="0.25">
      <c r="A34" t="s">
        <v>50</v>
      </c>
      <c r="B34" t="s">
        <v>114</v>
      </c>
      <c r="C34">
        <v>16</v>
      </c>
      <c r="D34">
        <v>12</v>
      </c>
      <c r="E34">
        <v>4</v>
      </c>
      <c r="F34">
        <v>1</v>
      </c>
      <c r="G34">
        <v>2</v>
      </c>
      <c r="H34">
        <v>15</v>
      </c>
      <c r="I34">
        <v>0</v>
      </c>
      <c r="J34">
        <v>9600</v>
      </c>
      <c r="K34">
        <v>9900</v>
      </c>
      <c r="L34">
        <v>19200</v>
      </c>
      <c r="M34">
        <v>18000</v>
      </c>
    </row>
    <row r="35" spans="1:13" x14ac:dyDescent="0.25">
      <c r="A35" t="s">
        <v>50</v>
      </c>
      <c r="B35" t="s">
        <v>90</v>
      </c>
      <c r="C35">
        <v>16</v>
      </c>
      <c r="D35">
        <v>15</v>
      </c>
      <c r="E35">
        <v>0</v>
      </c>
      <c r="F35">
        <v>0</v>
      </c>
      <c r="G35">
        <v>0</v>
      </c>
      <c r="H35">
        <v>15</v>
      </c>
      <c r="I35">
        <v>1</v>
      </c>
      <c r="J35">
        <v>9600</v>
      </c>
      <c r="K35">
        <v>9900</v>
      </c>
      <c r="L35">
        <v>16800</v>
      </c>
      <c r="M35">
        <v>18000</v>
      </c>
    </row>
    <row r="36" spans="1:13" x14ac:dyDescent="0.25">
      <c r="A36" t="s">
        <v>51</v>
      </c>
      <c r="B36" t="s">
        <v>115</v>
      </c>
      <c r="C36">
        <v>8</v>
      </c>
      <c r="D36">
        <v>2</v>
      </c>
      <c r="E36">
        <v>6</v>
      </c>
      <c r="F36">
        <v>0</v>
      </c>
      <c r="G36">
        <v>0</v>
      </c>
      <c r="H36">
        <v>3</v>
      </c>
      <c r="I36">
        <v>0</v>
      </c>
      <c r="J36">
        <v>9600</v>
      </c>
      <c r="K36">
        <v>9900</v>
      </c>
      <c r="L36">
        <v>9600</v>
      </c>
      <c r="M36">
        <v>3600</v>
      </c>
    </row>
    <row r="37" spans="1:13" x14ac:dyDescent="0.25">
      <c r="A37" t="s">
        <v>51</v>
      </c>
      <c r="B37" t="s">
        <v>116</v>
      </c>
      <c r="C37">
        <v>116</v>
      </c>
      <c r="D37">
        <v>19</v>
      </c>
      <c r="E37">
        <v>97</v>
      </c>
      <c r="F37">
        <v>1</v>
      </c>
      <c r="G37">
        <v>4</v>
      </c>
      <c r="H37">
        <v>24</v>
      </c>
      <c r="I37">
        <v>0</v>
      </c>
      <c r="J37">
        <v>9600</v>
      </c>
      <c r="K37">
        <v>9900</v>
      </c>
      <c r="L37">
        <v>139200</v>
      </c>
      <c r="M37">
        <v>28800</v>
      </c>
    </row>
    <row r="38" spans="1:13" x14ac:dyDescent="0.25">
      <c r="A38" t="s">
        <v>51</v>
      </c>
      <c r="B38" t="s">
        <v>117</v>
      </c>
      <c r="C38">
        <v>72</v>
      </c>
      <c r="D38">
        <v>0</v>
      </c>
      <c r="E38">
        <v>72</v>
      </c>
      <c r="F38">
        <v>0</v>
      </c>
      <c r="G38">
        <v>0</v>
      </c>
      <c r="H38">
        <v>0</v>
      </c>
      <c r="I38">
        <v>0</v>
      </c>
      <c r="J38">
        <v>9600</v>
      </c>
      <c r="K38">
        <v>9900</v>
      </c>
      <c r="L38">
        <v>86400</v>
      </c>
      <c r="M38">
        <v>0</v>
      </c>
    </row>
    <row r="39" spans="1:13" x14ac:dyDescent="0.25">
      <c r="A39" t="s">
        <v>51</v>
      </c>
      <c r="B39" t="s">
        <v>90</v>
      </c>
      <c r="C39">
        <v>196</v>
      </c>
      <c r="D39">
        <v>0</v>
      </c>
      <c r="E39">
        <v>0</v>
      </c>
      <c r="F39">
        <v>8</v>
      </c>
      <c r="G39">
        <v>27</v>
      </c>
      <c r="H39">
        <v>27</v>
      </c>
      <c r="I39">
        <v>169</v>
      </c>
      <c r="J39">
        <v>9600</v>
      </c>
      <c r="K39">
        <v>9900</v>
      </c>
      <c r="L39">
        <v>200400</v>
      </c>
      <c r="M39">
        <v>32400</v>
      </c>
    </row>
    <row r="40" spans="1:13" x14ac:dyDescent="0.25">
      <c r="A40" t="s">
        <v>52</v>
      </c>
      <c r="B40" t="s">
        <v>118</v>
      </c>
      <c r="C40">
        <v>253</v>
      </c>
      <c r="D40">
        <v>201</v>
      </c>
      <c r="E40">
        <v>52</v>
      </c>
      <c r="F40">
        <v>13</v>
      </c>
      <c r="G40">
        <v>38</v>
      </c>
      <c r="H40">
        <v>251</v>
      </c>
      <c r="I40">
        <v>0</v>
      </c>
      <c r="J40">
        <v>11100</v>
      </c>
      <c r="K40">
        <v>11400</v>
      </c>
      <c r="L40">
        <v>303600</v>
      </c>
      <c r="M40">
        <v>301200</v>
      </c>
    </row>
    <row r="41" spans="1:13" x14ac:dyDescent="0.25">
      <c r="A41" t="s">
        <v>52</v>
      </c>
      <c r="B41" t="s">
        <v>119</v>
      </c>
      <c r="C41">
        <v>71</v>
      </c>
      <c r="D41">
        <v>53</v>
      </c>
      <c r="E41">
        <v>18</v>
      </c>
      <c r="F41">
        <v>3</v>
      </c>
      <c r="G41">
        <v>10</v>
      </c>
      <c r="H41">
        <v>66</v>
      </c>
      <c r="I41">
        <v>0</v>
      </c>
      <c r="J41">
        <v>11100</v>
      </c>
      <c r="K41">
        <v>11400</v>
      </c>
      <c r="L41">
        <v>85200</v>
      </c>
      <c r="M41">
        <v>79200</v>
      </c>
    </row>
    <row r="42" spans="1:13" x14ac:dyDescent="0.25">
      <c r="A42" t="s">
        <v>52</v>
      </c>
      <c r="B42" t="s">
        <v>90</v>
      </c>
      <c r="C42">
        <v>324</v>
      </c>
      <c r="D42">
        <v>318</v>
      </c>
      <c r="E42">
        <v>0</v>
      </c>
      <c r="F42">
        <v>0</v>
      </c>
      <c r="G42">
        <v>-1</v>
      </c>
      <c r="H42">
        <v>317</v>
      </c>
      <c r="I42">
        <v>7</v>
      </c>
      <c r="J42">
        <v>11100</v>
      </c>
      <c r="K42">
        <v>11400</v>
      </c>
      <c r="L42">
        <v>220000</v>
      </c>
      <c r="M42">
        <v>253600</v>
      </c>
    </row>
    <row r="43" spans="1:13" x14ac:dyDescent="0.25">
      <c r="A43" t="s">
        <v>53</v>
      </c>
      <c r="B43" t="s">
        <v>120</v>
      </c>
      <c r="C43">
        <v>265</v>
      </c>
      <c r="D43">
        <v>196</v>
      </c>
      <c r="E43">
        <v>69</v>
      </c>
      <c r="F43">
        <v>12</v>
      </c>
      <c r="G43">
        <v>37</v>
      </c>
      <c r="H43">
        <v>245</v>
      </c>
      <c r="I43">
        <v>0</v>
      </c>
      <c r="J43">
        <v>11100</v>
      </c>
      <c r="K43">
        <v>11400</v>
      </c>
      <c r="L43">
        <v>318000</v>
      </c>
      <c r="M43">
        <v>294000</v>
      </c>
    </row>
    <row r="44" spans="1:13" x14ac:dyDescent="0.25">
      <c r="A44" t="s">
        <v>53</v>
      </c>
      <c r="B44" t="s">
        <v>90</v>
      </c>
      <c r="C44">
        <v>265</v>
      </c>
      <c r="D44">
        <v>224</v>
      </c>
      <c r="E44">
        <v>0</v>
      </c>
      <c r="F44">
        <v>0</v>
      </c>
      <c r="G44">
        <v>21</v>
      </c>
      <c r="H44">
        <v>245</v>
      </c>
      <c r="I44">
        <v>20</v>
      </c>
      <c r="J44">
        <v>11100</v>
      </c>
      <c r="K44">
        <v>11400</v>
      </c>
      <c r="L44">
        <v>180000</v>
      </c>
      <c r="M44">
        <v>196000</v>
      </c>
    </row>
    <row r="45" spans="1:13" x14ac:dyDescent="0.25">
      <c r="A45" t="s">
        <v>54</v>
      </c>
      <c r="B45" t="s">
        <v>121</v>
      </c>
      <c r="C45">
        <v>111</v>
      </c>
      <c r="D45">
        <v>5</v>
      </c>
      <c r="E45">
        <v>106</v>
      </c>
      <c r="F45">
        <v>0</v>
      </c>
      <c r="G45">
        <v>1</v>
      </c>
      <c r="H45">
        <v>6</v>
      </c>
      <c r="I45">
        <v>0</v>
      </c>
      <c r="J45">
        <v>9600</v>
      </c>
      <c r="K45">
        <v>9900</v>
      </c>
      <c r="L45">
        <v>133200</v>
      </c>
      <c r="M45">
        <v>7200</v>
      </c>
    </row>
    <row r="46" spans="1:13" x14ac:dyDescent="0.25">
      <c r="A46" t="s">
        <v>54</v>
      </c>
      <c r="B46" t="s">
        <v>122</v>
      </c>
      <c r="C46">
        <v>111</v>
      </c>
      <c r="D46">
        <v>1</v>
      </c>
      <c r="E46">
        <v>110</v>
      </c>
      <c r="F46">
        <v>0</v>
      </c>
      <c r="G46">
        <v>0</v>
      </c>
      <c r="H46">
        <v>1</v>
      </c>
      <c r="I46">
        <v>0</v>
      </c>
      <c r="J46">
        <v>9600</v>
      </c>
      <c r="K46">
        <v>9900</v>
      </c>
      <c r="L46">
        <v>133200</v>
      </c>
      <c r="M46">
        <v>1200</v>
      </c>
    </row>
    <row r="47" spans="1:13" x14ac:dyDescent="0.25">
      <c r="A47" t="s">
        <v>54</v>
      </c>
      <c r="B47" t="s">
        <v>123</v>
      </c>
      <c r="C47">
        <v>112</v>
      </c>
      <c r="D47">
        <v>80</v>
      </c>
      <c r="E47">
        <v>32</v>
      </c>
      <c r="F47">
        <v>5</v>
      </c>
      <c r="G47">
        <v>15</v>
      </c>
      <c r="H47">
        <v>100</v>
      </c>
      <c r="I47">
        <v>0</v>
      </c>
      <c r="J47">
        <v>9600</v>
      </c>
      <c r="K47">
        <v>9900</v>
      </c>
      <c r="L47">
        <v>134400</v>
      </c>
      <c r="M47">
        <v>120000</v>
      </c>
    </row>
    <row r="48" spans="1:13" x14ac:dyDescent="0.25">
      <c r="A48" t="s">
        <v>54</v>
      </c>
      <c r="B48" t="s">
        <v>124</v>
      </c>
      <c r="C48">
        <v>110</v>
      </c>
      <c r="D48">
        <v>83</v>
      </c>
      <c r="E48">
        <v>27</v>
      </c>
      <c r="F48">
        <v>5</v>
      </c>
      <c r="G48">
        <v>16</v>
      </c>
      <c r="H48">
        <v>104</v>
      </c>
      <c r="I48">
        <v>0</v>
      </c>
      <c r="J48">
        <v>9600</v>
      </c>
      <c r="K48">
        <v>9900</v>
      </c>
      <c r="L48">
        <v>132000</v>
      </c>
      <c r="M48">
        <v>124800</v>
      </c>
    </row>
    <row r="49" spans="1:13" x14ac:dyDescent="0.25">
      <c r="A49" t="s">
        <v>54</v>
      </c>
      <c r="B49" t="s">
        <v>125</v>
      </c>
      <c r="C49">
        <v>110</v>
      </c>
      <c r="D49">
        <v>82</v>
      </c>
      <c r="E49">
        <v>28</v>
      </c>
      <c r="F49">
        <v>5</v>
      </c>
      <c r="G49">
        <v>15</v>
      </c>
      <c r="H49">
        <v>103</v>
      </c>
      <c r="I49">
        <v>0</v>
      </c>
      <c r="J49">
        <v>9600</v>
      </c>
      <c r="K49">
        <v>9900</v>
      </c>
      <c r="L49">
        <v>132000</v>
      </c>
      <c r="M49">
        <v>123600</v>
      </c>
    </row>
    <row r="50" spans="1:13" x14ac:dyDescent="0.25">
      <c r="A50" t="s">
        <v>54</v>
      </c>
      <c r="B50" t="s">
        <v>126</v>
      </c>
      <c r="C50">
        <v>111</v>
      </c>
      <c r="D50">
        <v>3</v>
      </c>
      <c r="E50">
        <v>108</v>
      </c>
      <c r="F50">
        <v>0</v>
      </c>
      <c r="G50">
        <v>1</v>
      </c>
      <c r="H50">
        <v>4</v>
      </c>
      <c r="I50">
        <v>0</v>
      </c>
      <c r="J50">
        <v>9600</v>
      </c>
      <c r="K50">
        <v>9900</v>
      </c>
      <c r="L50">
        <v>133200</v>
      </c>
      <c r="M50">
        <v>4800</v>
      </c>
    </row>
    <row r="51" spans="1:13" x14ac:dyDescent="0.25">
      <c r="A51" t="s">
        <v>54</v>
      </c>
      <c r="B51" t="s">
        <v>127</v>
      </c>
      <c r="C51">
        <v>33</v>
      </c>
      <c r="D51">
        <v>18</v>
      </c>
      <c r="E51">
        <v>15</v>
      </c>
      <c r="F51">
        <v>1</v>
      </c>
      <c r="G51">
        <v>3</v>
      </c>
      <c r="H51">
        <v>23</v>
      </c>
      <c r="I51">
        <v>0</v>
      </c>
      <c r="J51">
        <v>9600</v>
      </c>
      <c r="K51">
        <v>9900</v>
      </c>
      <c r="L51">
        <v>39600</v>
      </c>
      <c r="M51">
        <v>27600</v>
      </c>
    </row>
    <row r="52" spans="1:13" x14ac:dyDescent="0.25">
      <c r="A52" t="s">
        <v>54</v>
      </c>
      <c r="B52" t="s">
        <v>128</v>
      </c>
      <c r="C52">
        <v>33</v>
      </c>
      <c r="D52">
        <v>0</v>
      </c>
      <c r="E52">
        <v>33</v>
      </c>
      <c r="F52">
        <v>0</v>
      </c>
      <c r="G52">
        <v>0</v>
      </c>
      <c r="H52">
        <v>0</v>
      </c>
      <c r="I52">
        <v>0</v>
      </c>
      <c r="J52">
        <v>9600</v>
      </c>
      <c r="K52">
        <v>9900</v>
      </c>
      <c r="L52">
        <v>39600</v>
      </c>
      <c r="M52">
        <v>0</v>
      </c>
    </row>
    <row r="53" spans="1:13" x14ac:dyDescent="0.25">
      <c r="A53" t="s">
        <v>54</v>
      </c>
      <c r="B53" t="s">
        <v>129</v>
      </c>
      <c r="C53">
        <v>38</v>
      </c>
      <c r="D53">
        <v>0</v>
      </c>
      <c r="E53">
        <v>38</v>
      </c>
      <c r="F53">
        <v>0</v>
      </c>
      <c r="G53">
        <v>0</v>
      </c>
      <c r="H53">
        <v>0</v>
      </c>
      <c r="I53">
        <v>0</v>
      </c>
      <c r="J53">
        <v>9600</v>
      </c>
      <c r="K53">
        <v>9900</v>
      </c>
      <c r="L53">
        <v>45600</v>
      </c>
      <c r="M53">
        <v>0</v>
      </c>
    </row>
    <row r="54" spans="1:13" x14ac:dyDescent="0.25">
      <c r="A54" t="s">
        <v>54</v>
      </c>
      <c r="B54" t="s">
        <v>130</v>
      </c>
      <c r="C54">
        <v>110</v>
      </c>
      <c r="D54">
        <v>50</v>
      </c>
      <c r="E54">
        <v>60</v>
      </c>
      <c r="F54">
        <v>3</v>
      </c>
      <c r="G54">
        <v>9</v>
      </c>
      <c r="H54">
        <v>62</v>
      </c>
      <c r="I54">
        <v>0</v>
      </c>
      <c r="J54">
        <v>9600</v>
      </c>
      <c r="K54">
        <v>9900</v>
      </c>
      <c r="L54">
        <v>132000</v>
      </c>
      <c r="M54">
        <v>74400</v>
      </c>
    </row>
    <row r="55" spans="1:13" x14ac:dyDescent="0.25">
      <c r="A55" t="s">
        <v>54</v>
      </c>
      <c r="B55" t="s">
        <v>131</v>
      </c>
      <c r="C55">
        <v>112</v>
      </c>
      <c r="D55">
        <v>71</v>
      </c>
      <c r="E55">
        <v>41</v>
      </c>
      <c r="F55">
        <v>4</v>
      </c>
      <c r="G55">
        <v>13</v>
      </c>
      <c r="H55">
        <v>89</v>
      </c>
      <c r="I55">
        <v>0</v>
      </c>
      <c r="J55">
        <v>9600</v>
      </c>
      <c r="K55">
        <v>9900</v>
      </c>
      <c r="L55">
        <v>134400</v>
      </c>
      <c r="M55">
        <v>106800</v>
      </c>
    </row>
    <row r="56" spans="1:13" x14ac:dyDescent="0.25">
      <c r="A56" t="s">
        <v>54</v>
      </c>
      <c r="B56" t="s">
        <v>132</v>
      </c>
      <c r="C56">
        <v>110</v>
      </c>
      <c r="D56">
        <v>81</v>
      </c>
      <c r="E56">
        <v>29</v>
      </c>
      <c r="F56">
        <v>5</v>
      </c>
      <c r="G56">
        <v>15</v>
      </c>
      <c r="H56">
        <v>101</v>
      </c>
      <c r="I56">
        <v>0</v>
      </c>
      <c r="J56">
        <v>9600</v>
      </c>
      <c r="K56">
        <v>9900</v>
      </c>
      <c r="L56">
        <v>132000</v>
      </c>
      <c r="M56">
        <v>121200</v>
      </c>
    </row>
    <row r="57" spans="1:13" x14ac:dyDescent="0.25">
      <c r="A57" t="s">
        <v>54</v>
      </c>
      <c r="B57" t="s">
        <v>133</v>
      </c>
      <c r="C57">
        <v>56</v>
      </c>
      <c r="D57">
        <v>32</v>
      </c>
      <c r="E57">
        <v>24</v>
      </c>
      <c r="F57">
        <v>2</v>
      </c>
      <c r="G57">
        <v>6</v>
      </c>
      <c r="H57">
        <v>40</v>
      </c>
      <c r="I57">
        <v>0</v>
      </c>
      <c r="J57">
        <v>9600</v>
      </c>
      <c r="K57">
        <v>9900</v>
      </c>
      <c r="L57">
        <v>67200</v>
      </c>
      <c r="M57">
        <v>48000</v>
      </c>
    </row>
    <row r="58" spans="1:13" x14ac:dyDescent="0.25">
      <c r="A58" t="s">
        <v>54</v>
      </c>
      <c r="B58" t="s">
        <v>90</v>
      </c>
      <c r="C58">
        <v>1157</v>
      </c>
      <c r="D58">
        <v>466</v>
      </c>
      <c r="E58">
        <v>0</v>
      </c>
      <c r="F58">
        <v>19</v>
      </c>
      <c r="G58">
        <v>167</v>
      </c>
      <c r="H58">
        <v>633</v>
      </c>
      <c r="I58">
        <v>524</v>
      </c>
      <c r="J58">
        <v>9600</v>
      </c>
      <c r="K58">
        <v>9900</v>
      </c>
      <c r="L58">
        <v>1179600</v>
      </c>
      <c r="M58">
        <v>759600</v>
      </c>
    </row>
    <row r="59" spans="1:13" x14ac:dyDescent="0.25">
      <c r="A59" t="s">
        <v>55</v>
      </c>
      <c r="B59" t="s">
        <v>134</v>
      </c>
      <c r="C59">
        <v>104</v>
      </c>
      <c r="D59">
        <v>0</v>
      </c>
      <c r="E59">
        <v>104</v>
      </c>
      <c r="F59">
        <v>0</v>
      </c>
      <c r="G59">
        <v>0</v>
      </c>
      <c r="H59">
        <v>0</v>
      </c>
      <c r="I59">
        <v>0</v>
      </c>
      <c r="J59">
        <v>9600</v>
      </c>
      <c r="K59">
        <v>9900</v>
      </c>
      <c r="L59">
        <v>124800</v>
      </c>
      <c r="M59">
        <v>0</v>
      </c>
    </row>
    <row r="60" spans="1:13" x14ac:dyDescent="0.25">
      <c r="A60" t="s">
        <v>55</v>
      </c>
      <c r="B60" t="s">
        <v>135</v>
      </c>
      <c r="C60">
        <v>129</v>
      </c>
      <c r="D60">
        <v>1</v>
      </c>
      <c r="E60">
        <v>128</v>
      </c>
      <c r="F60">
        <v>0</v>
      </c>
      <c r="G60">
        <v>0</v>
      </c>
      <c r="H60">
        <v>1</v>
      </c>
      <c r="I60">
        <v>0</v>
      </c>
      <c r="J60">
        <v>9600</v>
      </c>
      <c r="K60">
        <v>9900</v>
      </c>
      <c r="L60">
        <v>154800</v>
      </c>
      <c r="M60">
        <v>1200</v>
      </c>
    </row>
    <row r="61" spans="1:13" x14ac:dyDescent="0.25">
      <c r="A61" t="s">
        <v>55</v>
      </c>
      <c r="B61" t="s">
        <v>136</v>
      </c>
      <c r="C61">
        <v>4</v>
      </c>
      <c r="D61">
        <v>0</v>
      </c>
      <c r="E61">
        <v>4</v>
      </c>
      <c r="F61">
        <v>0</v>
      </c>
      <c r="G61">
        <v>0</v>
      </c>
      <c r="H61">
        <v>0</v>
      </c>
      <c r="I61">
        <v>0</v>
      </c>
      <c r="J61">
        <v>9600</v>
      </c>
      <c r="K61">
        <v>9900</v>
      </c>
      <c r="L61">
        <v>4800</v>
      </c>
      <c r="M61">
        <v>0</v>
      </c>
    </row>
    <row r="62" spans="1:13" x14ac:dyDescent="0.25">
      <c r="A62" t="s">
        <v>55</v>
      </c>
      <c r="B62" t="s">
        <v>90</v>
      </c>
      <c r="C62">
        <v>237</v>
      </c>
      <c r="D62">
        <v>0</v>
      </c>
      <c r="E62">
        <v>0</v>
      </c>
      <c r="F62">
        <v>0</v>
      </c>
      <c r="G62">
        <v>1</v>
      </c>
      <c r="H62">
        <v>1</v>
      </c>
      <c r="I62">
        <v>236</v>
      </c>
      <c r="J62">
        <v>9600</v>
      </c>
      <c r="K62">
        <v>9900</v>
      </c>
      <c r="L62">
        <v>241200</v>
      </c>
      <c r="M62">
        <v>1200</v>
      </c>
    </row>
    <row r="63" spans="1:13" x14ac:dyDescent="0.25">
      <c r="A63" t="s">
        <v>56</v>
      </c>
      <c r="B63" t="s">
        <v>137</v>
      </c>
      <c r="C63">
        <v>52</v>
      </c>
      <c r="D63">
        <v>42</v>
      </c>
      <c r="E63">
        <v>10</v>
      </c>
      <c r="F63">
        <v>3</v>
      </c>
      <c r="G63">
        <v>8</v>
      </c>
      <c r="H63">
        <v>52</v>
      </c>
      <c r="I63">
        <v>0</v>
      </c>
      <c r="J63">
        <v>9600</v>
      </c>
      <c r="K63">
        <v>9900</v>
      </c>
      <c r="L63">
        <v>62400</v>
      </c>
      <c r="M63">
        <v>62400</v>
      </c>
    </row>
    <row r="64" spans="1:13" x14ac:dyDescent="0.25">
      <c r="A64" t="s">
        <v>56</v>
      </c>
      <c r="B64" t="s">
        <v>138</v>
      </c>
      <c r="C64">
        <v>52</v>
      </c>
      <c r="D64">
        <v>42</v>
      </c>
      <c r="E64">
        <v>10</v>
      </c>
      <c r="F64">
        <v>3</v>
      </c>
      <c r="G64">
        <v>8</v>
      </c>
      <c r="H64">
        <v>52</v>
      </c>
      <c r="I64">
        <v>0</v>
      </c>
      <c r="J64">
        <v>9600</v>
      </c>
      <c r="K64">
        <v>9900</v>
      </c>
      <c r="L64">
        <v>62400</v>
      </c>
      <c r="M64">
        <v>62400</v>
      </c>
    </row>
    <row r="65" spans="1:13" x14ac:dyDescent="0.25">
      <c r="A65" t="s">
        <v>56</v>
      </c>
      <c r="B65" t="s">
        <v>139</v>
      </c>
      <c r="C65">
        <v>52</v>
      </c>
      <c r="D65">
        <v>42</v>
      </c>
      <c r="E65">
        <v>10</v>
      </c>
      <c r="F65">
        <v>3</v>
      </c>
      <c r="G65">
        <v>8</v>
      </c>
      <c r="H65">
        <v>52</v>
      </c>
      <c r="I65">
        <v>0</v>
      </c>
      <c r="J65">
        <v>9600</v>
      </c>
      <c r="K65">
        <v>9900</v>
      </c>
      <c r="L65">
        <v>62400</v>
      </c>
      <c r="M65">
        <v>62400</v>
      </c>
    </row>
    <row r="66" spans="1:13" x14ac:dyDescent="0.25">
      <c r="A66" t="s">
        <v>56</v>
      </c>
      <c r="B66" t="s">
        <v>140</v>
      </c>
      <c r="C66">
        <v>52</v>
      </c>
      <c r="D66">
        <v>42</v>
      </c>
      <c r="E66">
        <v>10</v>
      </c>
      <c r="F66">
        <v>3</v>
      </c>
      <c r="G66">
        <v>8</v>
      </c>
      <c r="H66">
        <v>52</v>
      </c>
      <c r="I66">
        <v>0</v>
      </c>
      <c r="J66">
        <v>9600</v>
      </c>
      <c r="K66">
        <v>9900</v>
      </c>
      <c r="L66">
        <v>62400</v>
      </c>
      <c r="M66">
        <v>62400</v>
      </c>
    </row>
    <row r="67" spans="1:13" x14ac:dyDescent="0.25">
      <c r="A67" t="s">
        <v>56</v>
      </c>
      <c r="B67" t="s">
        <v>141</v>
      </c>
      <c r="C67">
        <v>52</v>
      </c>
      <c r="D67">
        <v>42</v>
      </c>
      <c r="E67">
        <v>10</v>
      </c>
      <c r="F67">
        <v>3</v>
      </c>
      <c r="G67">
        <v>8</v>
      </c>
      <c r="H67">
        <v>52</v>
      </c>
      <c r="I67">
        <v>0</v>
      </c>
      <c r="J67">
        <v>9600</v>
      </c>
      <c r="K67">
        <v>9900</v>
      </c>
      <c r="L67">
        <v>62400</v>
      </c>
      <c r="M67">
        <v>62400</v>
      </c>
    </row>
    <row r="68" spans="1:13" x14ac:dyDescent="0.25">
      <c r="A68" t="s">
        <v>56</v>
      </c>
      <c r="B68" t="s">
        <v>142</v>
      </c>
      <c r="C68">
        <v>52</v>
      </c>
      <c r="D68">
        <v>42</v>
      </c>
      <c r="E68">
        <v>10</v>
      </c>
      <c r="F68">
        <v>3</v>
      </c>
      <c r="G68">
        <v>8</v>
      </c>
      <c r="H68">
        <v>52</v>
      </c>
      <c r="I68">
        <v>0</v>
      </c>
      <c r="J68">
        <v>9600</v>
      </c>
      <c r="K68">
        <v>9900</v>
      </c>
      <c r="L68">
        <v>62400</v>
      </c>
      <c r="M68">
        <v>62400</v>
      </c>
    </row>
    <row r="69" spans="1:13" x14ac:dyDescent="0.25">
      <c r="A69" t="s">
        <v>56</v>
      </c>
      <c r="B69" t="s">
        <v>143</v>
      </c>
      <c r="C69">
        <v>52</v>
      </c>
      <c r="D69">
        <v>40</v>
      </c>
      <c r="E69">
        <v>12</v>
      </c>
      <c r="F69">
        <v>3</v>
      </c>
      <c r="G69">
        <v>8</v>
      </c>
      <c r="H69">
        <v>50</v>
      </c>
      <c r="I69">
        <v>0</v>
      </c>
      <c r="J69">
        <v>9600</v>
      </c>
      <c r="K69">
        <v>9900</v>
      </c>
      <c r="L69">
        <v>62400</v>
      </c>
      <c r="M69">
        <v>60000</v>
      </c>
    </row>
    <row r="70" spans="1:13" x14ac:dyDescent="0.25">
      <c r="A70" t="s">
        <v>56</v>
      </c>
      <c r="B70" t="s">
        <v>90</v>
      </c>
      <c r="C70">
        <v>364</v>
      </c>
      <c r="D70">
        <v>362</v>
      </c>
      <c r="E70">
        <v>0</v>
      </c>
      <c r="F70">
        <v>0</v>
      </c>
      <c r="G70">
        <v>0</v>
      </c>
      <c r="H70">
        <v>362</v>
      </c>
      <c r="I70">
        <v>2</v>
      </c>
      <c r="J70">
        <v>9600</v>
      </c>
      <c r="K70">
        <v>9900</v>
      </c>
      <c r="L70">
        <v>370800</v>
      </c>
      <c r="M70">
        <v>434400</v>
      </c>
    </row>
    <row r="71" spans="1:13" x14ac:dyDescent="0.25">
      <c r="A71" t="s">
        <v>57</v>
      </c>
      <c r="B71" t="s">
        <v>144</v>
      </c>
      <c r="C71">
        <v>30</v>
      </c>
      <c r="D71">
        <v>1</v>
      </c>
      <c r="E71">
        <v>29</v>
      </c>
      <c r="F71">
        <v>0</v>
      </c>
      <c r="G71">
        <v>0</v>
      </c>
      <c r="H71">
        <v>1</v>
      </c>
      <c r="I71">
        <v>0</v>
      </c>
      <c r="J71">
        <v>9600</v>
      </c>
      <c r="K71">
        <v>9900</v>
      </c>
      <c r="L71">
        <v>36000</v>
      </c>
      <c r="M71">
        <v>1200</v>
      </c>
    </row>
    <row r="72" spans="1:13" x14ac:dyDescent="0.25">
      <c r="A72" t="s">
        <v>57</v>
      </c>
      <c r="B72" t="s">
        <v>145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9600</v>
      </c>
      <c r="K72">
        <v>9900</v>
      </c>
      <c r="L72">
        <v>1200</v>
      </c>
      <c r="M72">
        <v>0</v>
      </c>
    </row>
    <row r="73" spans="1:13" x14ac:dyDescent="0.25">
      <c r="A73" t="s">
        <v>57</v>
      </c>
      <c r="B73" t="s">
        <v>146</v>
      </c>
      <c r="C73">
        <v>27</v>
      </c>
      <c r="D73">
        <v>10</v>
      </c>
      <c r="E73">
        <v>17</v>
      </c>
      <c r="F73">
        <v>1</v>
      </c>
      <c r="G73">
        <v>2</v>
      </c>
      <c r="H73">
        <v>12</v>
      </c>
      <c r="I73">
        <v>0</v>
      </c>
      <c r="J73">
        <v>9600</v>
      </c>
      <c r="K73">
        <v>9900</v>
      </c>
      <c r="L73">
        <v>32400</v>
      </c>
      <c r="M73">
        <v>14400</v>
      </c>
    </row>
    <row r="74" spans="1:13" x14ac:dyDescent="0.25">
      <c r="A74" t="s">
        <v>57</v>
      </c>
      <c r="B74" t="s">
        <v>90</v>
      </c>
      <c r="C74">
        <v>58</v>
      </c>
      <c r="D74">
        <v>9</v>
      </c>
      <c r="E74">
        <v>0</v>
      </c>
      <c r="F74">
        <v>0</v>
      </c>
      <c r="G74">
        <v>4</v>
      </c>
      <c r="H74">
        <v>13</v>
      </c>
      <c r="I74">
        <v>45</v>
      </c>
      <c r="J74">
        <v>9600</v>
      </c>
      <c r="K74">
        <v>9900</v>
      </c>
      <c r="L74">
        <v>58800</v>
      </c>
      <c r="M74">
        <v>15600</v>
      </c>
    </row>
    <row r="75" spans="1:13" x14ac:dyDescent="0.25">
      <c r="A75" t="s">
        <v>58</v>
      </c>
      <c r="B75" t="s">
        <v>147</v>
      </c>
      <c r="C75">
        <v>52</v>
      </c>
      <c r="D75">
        <v>42</v>
      </c>
      <c r="E75">
        <v>10</v>
      </c>
      <c r="F75">
        <v>3</v>
      </c>
      <c r="G75">
        <v>8</v>
      </c>
      <c r="H75">
        <v>52</v>
      </c>
      <c r="I75">
        <v>0</v>
      </c>
      <c r="J75">
        <v>9600</v>
      </c>
      <c r="K75">
        <v>9900</v>
      </c>
      <c r="L75">
        <v>62400</v>
      </c>
      <c r="M75">
        <v>62400</v>
      </c>
    </row>
    <row r="76" spans="1:13" x14ac:dyDescent="0.25">
      <c r="A76" t="s">
        <v>58</v>
      </c>
      <c r="B76" t="s">
        <v>148</v>
      </c>
      <c r="C76">
        <v>52</v>
      </c>
      <c r="D76">
        <v>42</v>
      </c>
      <c r="E76">
        <v>10</v>
      </c>
      <c r="F76">
        <v>3</v>
      </c>
      <c r="G76">
        <v>8</v>
      </c>
      <c r="H76">
        <v>52</v>
      </c>
      <c r="I76">
        <v>0</v>
      </c>
      <c r="J76">
        <v>9600</v>
      </c>
      <c r="K76">
        <v>9900</v>
      </c>
      <c r="L76">
        <v>62400</v>
      </c>
      <c r="M76">
        <v>62400</v>
      </c>
    </row>
    <row r="77" spans="1:13" x14ac:dyDescent="0.25">
      <c r="A77" t="s">
        <v>58</v>
      </c>
      <c r="B77" t="s">
        <v>149</v>
      </c>
      <c r="C77">
        <v>52</v>
      </c>
      <c r="D77">
        <v>41</v>
      </c>
      <c r="E77">
        <v>11</v>
      </c>
      <c r="F77">
        <v>3</v>
      </c>
      <c r="G77">
        <v>8</v>
      </c>
      <c r="H77">
        <v>51</v>
      </c>
      <c r="I77">
        <v>0</v>
      </c>
      <c r="J77">
        <v>9600</v>
      </c>
      <c r="K77">
        <v>9900</v>
      </c>
      <c r="L77">
        <v>62400</v>
      </c>
      <c r="M77">
        <v>61200</v>
      </c>
    </row>
    <row r="78" spans="1:13" x14ac:dyDescent="0.25">
      <c r="A78" t="s">
        <v>58</v>
      </c>
      <c r="B78" t="s">
        <v>150</v>
      </c>
      <c r="C78">
        <v>52</v>
      </c>
      <c r="D78">
        <v>35</v>
      </c>
      <c r="E78">
        <v>17</v>
      </c>
      <c r="F78">
        <v>2</v>
      </c>
      <c r="G78">
        <v>7</v>
      </c>
      <c r="H78">
        <v>44</v>
      </c>
      <c r="I78">
        <v>0</v>
      </c>
      <c r="J78">
        <v>9600</v>
      </c>
      <c r="K78">
        <v>9900</v>
      </c>
      <c r="L78">
        <v>62400</v>
      </c>
      <c r="M78">
        <v>52800</v>
      </c>
    </row>
    <row r="79" spans="1:13" x14ac:dyDescent="0.25">
      <c r="A79" t="s">
        <v>58</v>
      </c>
      <c r="B79" t="s">
        <v>151</v>
      </c>
      <c r="C79">
        <v>52</v>
      </c>
      <c r="D79">
        <v>41</v>
      </c>
      <c r="E79">
        <v>11</v>
      </c>
      <c r="F79">
        <v>3</v>
      </c>
      <c r="G79">
        <v>8</v>
      </c>
      <c r="H79">
        <v>51</v>
      </c>
      <c r="I79">
        <v>0</v>
      </c>
      <c r="J79">
        <v>9600</v>
      </c>
      <c r="K79">
        <v>9900</v>
      </c>
      <c r="L79">
        <v>62400</v>
      </c>
      <c r="M79">
        <v>61200</v>
      </c>
    </row>
    <row r="80" spans="1:13" x14ac:dyDescent="0.25">
      <c r="A80" t="s">
        <v>58</v>
      </c>
      <c r="B80" t="s">
        <v>90</v>
      </c>
      <c r="C80">
        <v>260</v>
      </c>
      <c r="D80">
        <v>247</v>
      </c>
      <c r="E80">
        <v>0</v>
      </c>
      <c r="F80">
        <v>0</v>
      </c>
      <c r="G80">
        <v>3</v>
      </c>
      <c r="H80">
        <v>250</v>
      </c>
      <c r="I80">
        <v>10</v>
      </c>
      <c r="J80">
        <v>9600</v>
      </c>
      <c r="K80">
        <v>9900</v>
      </c>
      <c r="L80">
        <v>265200</v>
      </c>
      <c r="M80">
        <v>300000</v>
      </c>
    </row>
    <row r="81" spans="1:13" x14ac:dyDescent="0.25">
      <c r="A81" t="s">
        <v>59</v>
      </c>
      <c r="B81" t="s">
        <v>152</v>
      </c>
      <c r="C81">
        <v>112</v>
      </c>
      <c r="D81">
        <v>0</v>
      </c>
      <c r="E81">
        <v>112</v>
      </c>
      <c r="F81">
        <v>0</v>
      </c>
      <c r="G81">
        <v>0</v>
      </c>
      <c r="H81">
        <v>0</v>
      </c>
      <c r="I81">
        <v>0</v>
      </c>
      <c r="J81">
        <v>9600</v>
      </c>
      <c r="K81">
        <v>9900</v>
      </c>
      <c r="L81">
        <v>134400</v>
      </c>
      <c r="M81">
        <v>0</v>
      </c>
    </row>
    <row r="82" spans="1:13" x14ac:dyDescent="0.25">
      <c r="A82" t="s">
        <v>59</v>
      </c>
      <c r="B82" t="s">
        <v>153</v>
      </c>
      <c r="C82">
        <v>112</v>
      </c>
      <c r="D82">
        <v>9</v>
      </c>
      <c r="E82">
        <v>103</v>
      </c>
      <c r="F82">
        <v>1</v>
      </c>
      <c r="G82">
        <v>2</v>
      </c>
      <c r="H82">
        <v>11</v>
      </c>
      <c r="I82">
        <v>0</v>
      </c>
      <c r="J82">
        <v>9600</v>
      </c>
      <c r="K82">
        <v>9900</v>
      </c>
      <c r="L82">
        <v>134400</v>
      </c>
      <c r="M82">
        <v>13200</v>
      </c>
    </row>
    <row r="83" spans="1:13" x14ac:dyDescent="0.25">
      <c r="A83" t="s">
        <v>59</v>
      </c>
      <c r="B83" t="s">
        <v>154</v>
      </c>
      <c r="C83">
        <v>120</v>
      </c>
      <c r="D83">
        <v>56</v>
      </c>
      <c r="E83">
        <v>64</v>
      </c>
      <c r="F83">
        <v>4</v>
      </c>
      <c r="G83">
        <v>11</v>
      </c>
      <c r="H83">
        <v>70</v>
      </c>
      <c r="I83">
        <v>0</v>
      </c>
      <c r="J83">
        <v>9600</v>
      </c>
      <c r="K83">
        <v>9900</v>
      </c>
      <c r="L83">
        <v>144000</v>
      </c>
      <c r="M83">
        <v>84000</v>
      </c>
    </row>
    <row r="84" spans="1:13" x14ac:dyDescent="0.25">
      <c r="A84" t="s">
        <v>59</v>
      </c>
      <c r="B84" t="s">
        <v>155</v>
      </c>
      <c r="C84">
        <v>120</v>
      </c>
      <c r="D84">
        <v>62</v>
      </c>
      <c r="E84">
        <v>58</v>
      </c>
      <c r="F84">
        <v>4</v>
      </c>
      <c r="G84">
        <v>12</v>
      </c>
      <c r="H84">
        <v>77</v>
      </c>
      <c r="I84">
        <v>0</v>
      </c>
      <c r="J84">
        <v>9600</v>
      </c>
      <c r="K84">
        <v>9900</v>
      </c>
      <c r="L84">
        <v>144000</v>
      </c>
      <c r="M84">
        <v>92400</v>
      </c>
    </row>
    <row r="85" spans="1:13" x14ac:dyDescent="0.25">
      <c r="A85" t="s">
        <v>59</v>
      </c>
      <c r="B85" t="s">
        <v>156</v>
      </c>
      <c r="C85">
        <v>112</v>
      </c>
      <c r="D85">
        <v>0</v>
      </c>
      <c r="E85">
        <v>112</v>
      </c>
      <c r="F85">
        <v>0</v>
      </c>
      <c r="G85">
        <v>0</v>
      </c>
      <c r="H85">
        <v>0</v>
      </c>
      <c r="I85">
        <v>0</v>
      </c>
      <c r="J85">
        <v>9600</v>
      </c>
      <c r="K85">
        <v>9900</v>
      </c>
      <c r="L85">
        <v>134400</v>
      </c>
      <c r="M85">
        <v>0</v>
      </c>
    </row>
    <row r="86" spans="1:13" x14ac:dyDescent="0.25">
      <c r="A86" t="s">
        <v>59</v>
      </c>
      <c r="B86" t="s">
        <v>90</v>
      </c>
      <c r="C86">
        <v>576</v>
      </c>
      <c r="D86">
        <v>61</v>
      </c>
      <c r="E86">
        <v>0</v>
      </c>
      <c r="F86">
        <v>15</v>
      </c>
      <c r="G86">
        <v>97</v>
      </c>
      <c r="H86">
        <v>158</v>
      </c>
      <c r="I86">
        <v>418</v>
      </c>
      <c r="J86">
        <v>9600</v>
      </c>
      <c r="K86">
        <v>9900</v>
      </c>
      <c r="L86">
        <v>588000</v>
      </c>
      <c r="M86">
        <v>189600</v>
      </c>
    </row>
    <row r="87" spans="1:13" x14ac:dyDescent="0.25">
      <c r="A87" t="s">
        <v>60</v>
      </c>
      <c r="B87" t="s">
        <v>157</v>
      </c>
      <c r="C87">
        <v>8</v>
      </c>
      <c r="D87">
        <v>0</v>
      </c>
      <c r="E87">
        <v>8</v>
      </c>
      <c r="F87">
        <v>0</v>
      </c>
      <c r="G87">
        <v>0</v>
      </c>
      <c r="H87">
        <v>0</v>
      </c>
      <c r="I87">
        <v>0</v>
      </c>
      <c r="J87">
        <v>12600</v>
      </c>
      <c r="K87">
        <v>12900</v>
      </c>
      <c r="L87">
        <v>9600</v>
      </c>
      <c r="M87">
        <v>0</v>
      </c>
    </row>
    <row r="88" spans="1:13" x14ac:dyDescent="0.25">
      <c r="A88" t="s">
        <v>60</v>
      </c>
      <c r="B88" t="s">
        <v>158</v>
      </c>
      <c r="C88">
        <v>108</v>
      </c>
      <c r="D88">
        <v>14</v>
      </c>
      <c r="E88">
        <v>94</v>
      </c>
      <c r="F88">
        <v>1</v>
      </c>
      <c r="G88">
        <v>3</v>
      </c>
      <c r="H88">
        <v>17</v>
      </c>
      <c r="I88">
        <v>0</v>
      </c>
      <c r="J88">
        <v>12600</v>
      </c>
      <c r="K88">
        <v>12900</v>
      </c>
      <c r="L88">
        <v>129600</v>
      </c>
      <c r="M88">
        <v>20400</v>
      </c>
    </row>
    <row r="89" spans="1:13" x14ac:dyDescent="0.25">
      <c r="A89" t="s">
        <v>60</v>
      </c>
      <c r="B89" t="s">
        <v>90</v>
      </c>
      <c r="C89">
        <v>116</v>
      </c>
      <c r="D89">
        <v>0</v>
      </c>
      <c r="E89">
        <v>0</v>
      </c>
      <c r="F89">
        <v>1</v>
      </c>
      <c r="G89">
        <v>17</v>
      </c>
      <c r="H89">
        <v>17</v>
      </c>
      <c r="I89">
        <v>99</v>
      </c>
      <c r="J89">
        <v>12600</v>
      </c>
      <c r="K89">
        <v>12900</v>
      </c>
      <c r="L89">
        <v>217800</v>
      </c>
      <c r="M89">
        <v>37400</v>
      </c>
    </row>
    <row r="90" spans="1:13" x14ac:dyDescent="0.25">
      <c r="A90" t="s">
        <v>61</v>
      </c>
      <c r="B90" t="s">
        <v>159</v>
      </c>
      <c r="C90">
        <v>84</v>
      </c>
      <c r="D90">
        <v>67</v>
      </c>
      <c r="E90">
        <v>17</v>
      </c>
      <c r="F90">
        <v>4</v>
      </c>
      <c r="G90">
        <v>13</v>
      </c>
      <c r="H90">
        <v>84</v>
      </c>
      <c r="I90">
        <v>0</v>
      </c>
      <c r="J90">
        <v>9600</v>
      </c>
      <c r="K90">
        <v>9900</v>
      </c>
      <c r="L90">
        <v>100800</v>
      </c>
      <c r="M90">
        <v>100800</v>
      </c>
    </row>
    <row r="91" spans="1:13" x14ac:dyDescent="0.25">
      <c r="A91" t="s">
        <v>61</v>
      </c>
      <c r="B91" t="s">
        <v>160</v>
      </c>
      <c r="C91">
        <v>84</v>
      </c>
      <c r="D91">
        <v>67</v>
      </c>
      <c r="E91">
        <v>17</v>
      </c>
      <c r="F91">
        <v>4</v>
      </c>
      <c r="G91">
        <v>13</v>
      </c>
      <c r="H91">
        <v>84</v>
      </c>
      <c r="I91">
        <v>0</v>
      </c>
      <c r="J91">
        <v>9600</v>
      </c>
      <c r="K91">
        <v>9900</v>
      </c>
      <c r="L91">
        <v>100800</v>
      </c>
      <c r="M91">
        <v>100800</v>
      </c>
    </row>
    <row r="92" spans="1:13" x14ac:dyDescent="0.25">
      <c r="A92" t="s">
        <v>61</v>
      </c>
      <c r="B92" t="s">
        <v>90</v>
      </c>
      <c r="C92">
        <v>168</v>
      </c>
      <c r="D92">
        <v>163</v>
      </c>
      <c r="E92">
        <v>0</v>
      </c>
      <c r="F92">
        <v>0</v>
      </c>
      <c r="G92">
        <v>5</v>
      </c>
      <c r="H92">
        <v>168</v>
      </c>
      <c r="I92">
        <v>0</v>
      </c>
      <c r="J92">
        <v>9600</v>
      </c>
      <c r="K92">
        <v>9900</v>
      </c>
      <c r="L92">
        <v>171600</v>
      </c>
      <c r="M92">
        <v>201600</v>
      </c>
    </row>
    <row r="93" spans="1:13" x14ac:dyDescent="0.25">
      <c r="A93" t="s">
        <v>62</v>
      </c>
      <c r="B93" t="s">
        <v>159</v>
      </c>
      <c r="C93">
        <v>20</v>
      </c>
      <c r="D93">
        <v>16</v>
      </c>
      <c r="E93">
        <v>4</v>
      </c>
      <c r="F93">
        <v>1</v>
      </c>
      <c r="G93">
        <v>3</v>
      </c>
      <c r="H93">
        <v>20</v>
      </c>
      <c r="I93">
        <v>0</v>
      </c>
      <c r="J93">
        <v>9600</v>
      </c>
      <c r="K93">
        <v>9900</v>
      </c>
      <c r="L93">
        <v>24000</v>
      </c>
      <c r="M93">
        <v>24000</v>
      </c>
    </row>
    <row r="94" spans="1:13" x14ac:dyDescent="0.25">
      <c r="A94" t="s">
        <v>62</v>
      </c>
      <c r="B94" t="s">
        <v>160</v>
      </c>
      <c r="C94">
        <v>20</v>
      </c>
      <c r="D94">
        <v>16</v>
      </c>
      <c r="E94">
        <v>4</v>
      </c>
      <c r="F94">
        <v>1</v>
      </c>
      <c r="G94">
        <v>3</v>
      </c>
      <c r="H94">
        <v>20</v>
      </c>
      <c r="I94">
        <v>0</v>
      </c>
      <c r="J94">
        <v>9600</v>
      </c>
      <c r="K94">
        <v>9900</v>
      </c>
      <c r="L94">
        <v>24000</v>
      </c>
      <c r="M94">
        <v>24000</v>
      </c>
    </row>
    <row r="95" spans="1:13" x14ac:dyDescent="0.25">
      <c r="A95" t="s">
        <v>62</v>
      </c>
      <c r="B95" t="s">
        <v>90</v>
      </c>
      <c r="C95">
        <v>40</v>
      </c>
      <c r="D95">
        <v>40</v>
      </c>
      <c r="E95">
        <v>0</v>
      </c>
      <c r="F95">
        <v>0</v>
      </c>
      <c r="G95">
        <v>0</v>
      </c>
      <c r="H95">
        <v>40</v>
      </c>
      <c r="I95">
        <v>0</v>
      </c>
      <c r="J95">
        <v>9600</v>
      </c>
      <c r="K95">
        <v>9900</v>
      </c>
      <c r="L95">
        <v>40800</v>
      </c>
      <c r="M95">
        <v>48000</v>
      </c>
    </row>
    <row r="96" spans="1:13" x14ac:dyDescent="0.25">
      <c r="A96" t="s">
        <v>63</v>
      </c>
      <c r="B96" t="s">
        <v>161</v>
      </c>
      <c r="C96">
        <v>62</v>
      </c>
      <c r="D96">
        <v>4</v>
      </c>
      <c r="E96">
        <v>58</v>
      </c>
      <c r="F96">
        <v>0</v>
      </c>
      <c r="G96">
        <v>1</v>
      </c>
      <c r="H96">
        <v>5</v>
      </c>
      <c r="I96">
        <v>0</v>
      </c>
      <c r="J96">
        <v>9600</v>
      </c>
      <c r="K96">
        <v>9900</v>
      </c>
      <c r="L96">
        <v>74400</v>
      </c>
      <c r="M96">
        <v>6000</v>
      </c>
    </row>
    <row r="97" spans="1:13" x14ac:dyDescent="0.25">
      <c r="A97" t="s">
        <v>63</v>
      </c>
      <c r="B97" t="s">
        <v>162</v>
      </c>
      <c r="C97">
        <v>18</v>
      </c>
      <c r="D97">
        <v>14</v>
      </c>
      <c r="E97">
        <v>4</v>
      </c>
      <c r="F97">
        <v>1</v>
      </c>
      <c r="G97">
        <v>3</v>
      </c>
      <c r="H97">
        <v>18</v>
      </c>
      <c r="I97">
        <v>0</v>
      </c>
      <c r="J97">
        <v>9600</v>
      </c>
      <c r="K97">
        <v>9900</v>
      </c>
      <c r="L97">
        <v>21600</v>
      </c>
      <c r="M97">
        <v>21600</v>
      </c>
    </row>
    <row r="98" spans="1:13" x14ac:dyDescent="0.25">
      <c r="A98" t="s">
        <v>63</v>
      </c>
      <c r="B98" t="s">
        <v>90</v>
      </c>
      <c r="C98">
        <v>80</v>
      </c>
      <c r="D98">
        <v>22</v>
      </c>
      <c r="E98">
        <v>0</v>
      </c>
      <c r="F98">
        <v>0</v>
      </c>
      <c r="G98">
        <v>1</v>
      </c>
      <c r="H98">
        <v>23</v>
      </c>
      <c r="I98">
        <v>57</v>
      </c>
      <c r="J98">
        <v>9600</v>
      </c>
      <c r="K98">
        <v>9900</v>
      </c>
      <c r="L98">
        <v>81600</v>
      </c>
      <c r="M98">
        <v>27600</v>
      </c>
    </row>
    <row r="99" spans="1:13" x14ac:dyDescent="0.25">
      <c r="A99" t="s">
        <v>64</v>
      </c>
      <c r="B99" t="s">
        <v>163</v>
      </c>
      <c r="C99">
        <v>104</v>
      </c>
      <c r="D99">
        <v>0</v>
      </c>
      <c r="E99">
        <v>104</v>
      </c>
      <c r="F99">
        <v>0</v>
      </c>
      <c r="G99">
        <v>0</v>
      </c>
      <c r="H99">
        <v>0</v>
      </c>
      <c r="I99">
        <v>0</v>
      </c>
      <c r="J99">
        <v>9600</v>
      </c>
      <c r="K99">
        <v>9900</v>
      </c>
      <c r="L99">
        <v>124800</v>
      </c>
      <c r="M99">
        <v>0</v>
      </c>
    </row>
    <row r="100" spans="1:13" x14ac:dyDescent="0.25">
      <c r="A100" t="s">
        <v>64</v>
      </c>
      <c r="B100" t="s">
        <v>164</v>
      </c>
      <c r="C100">
        <v>104</v>
      </c>
      <c r="D100">
        <v>68</v>
      </c>
      <c r="E100">
        <v>36</v>
      </c>
      <c r="F100">
        <v>4</v>
      </c>
      <c r="G100">
        <v>13</v>
      </c>
      <c r="H100">
        <v>85</v>
      </c>
      <c r="I100">
        <v>0</v>
      </c>
      <c r="J100">
        <v>9600</v>
      </c>
      <c r="K100">
        <v>9900</v>
      </c>
      <c r="L100">
        <v>124800</v>
      </c>
      <c r="M100">
        <v>102000</v>
      </c>
    </row>
    <row r="101" spans="1:13" x14ac:dyDescent="0.25">
      <c r="A101" t="s">
        <v>64</v>
      </c>
      <c r="B101" t="s">
        <v>165</v>
      </c>
      <c r="C101">
        <v>104</v>
      </c>
      <c r="D101">
        <v>28</v>
      </c>
      <c r="E101">
        <v>76</v>
      </c>
      <c r="F101">
        <v>2</v>
      </c>
      <c r="G101">
        <v>5</v>
      </c>
      <c r="H101">
        <v>35</v>
      </c>
      <c r="I101">
        <v>0</v>
      </c>
      <c r="J101">
        <v>9600</v>
      </c>
      <c r="K101">
        <v>9900</v>
      </c>
      <c r="L101">
        <v>124800</v>
      </c>
      <c r="M101">
        <v>42000</v>
      </c>
    </row>
    <row r="102" spans="1:13" x14ac:dyDescent="0.25">
      <c r="A102" t="s">
        <v>64</v>
      </c>
      <c r="B102" t="s">
        <v>90</v>
      </c>
      <c r="C102">
        <v>312</v>
      </c>
      <c r="D102">
        <v>12</v>
      </c>
      <c r="E102">
        <v>0</v>
      </c>
      <c r="F102">
        <v>0</v>
      </c>
      <c r="G102">
        <v>108</v>
      </c>
      <c r="H102">
        <v>120</v>
      </c>
      <c r="I102">
        <v>192</v>
      </c>
      <c r="J102">
        <v>9600</v>
      </c>
      <c r="K102">
        <v>9900</v>
      </c>
      <c r="L102">
        <v>318000</v>
      </c>
      <c r="M102">
        <v>144000</v>
      </c>
    </row>
    <row r="103" spans="1:13" x14ac:dyDescent="0.25">
      <c r="A103" t="s">
        <v>65</v>
      </c>
      <c r="B103" t="s">
        <v>166</v>
      </c>
      <c r="C103">
        <v>79</v>
      </c>
      <c r="D103">
        <v>54</v>
      </c>
      <c r="E103">
        <v>25</v>
      </c>
      <c r="F103">
        <v>3</v>
      </c>
      <c r="G103">
        <v>10</v>
      </c>
      <c r="H103">
        <v>67</v>
      </c>
      <c r="I103">
        <v>0</v>
      </c>
      <c r="J103">
        <v>11100</v>
      </c>
      <c r="K103">
        <v>11400</v>
      </c>
      <c r="L103">
        <v>94800</v>
      </c>
      <c r="M103">
        <v>80400</v>
      </c>
    </row>
    <row r="104" spans="1:13" x14ac:dyDescent="0.25">
      <c r="A104" t="s">
        <v>65</v>
      </c>
      <c r="B104" t="s">
        <v>167</v>
      </c>
      <c r="C104">
        <v>18</v>
      </c>
      <c r="D104">
        <v>14</v>
      </c>
      <c r="E104">
        <v>4</v>
      </c>
      <c r="F104">
        <v>1</v>
      </c>
      <c r="G104">
        <v>3</v>
      </c>
      <c r="H104">
        <v>18</v>
      </c>
      <c r="I104">
        <v>0</v>
      </c>
      <c r="J104">
        <v>11100</v>
      </c>
      <c r="K104">
        <v>11400</v>
      </c>
      <c r="L104">
        <v>21600</v>
      </c>
      <c r="M104">
        <v>21600</v>
      </c>
    </row>
    <row r="105" spans="1:13" x14ac:dyDescent="0.25">
      <c r="A105" t="s">
        <v>65</v>
      </c>
      <c r="B105" t="s">
        <v>168</v>
      </c>
      <c r="C105">
        <v>51</v>
      </c>
      <c r="D105">
        <v>38</v>
      </c>
      <c r="E105">
        <v>13</v>
      </c>
      <c r="F105">
        <v>2</v>
      </c>
      <c r="G105">
        <v>7</v>
      </c>
      <c r="H105">
        <v>47</v>
      </c>
      <c r="I105">
        <v>0</v>
      </c>
      <c r="J105">
        <v>11100</v>
      </c>
      <c r="K105">
        <v>11400</v>
      </c>
      <c r="L105">
        <v>61200</v>
      </c>
      <c r="M105">
        <v>56400</v>
      </c>
    </row>
    <row r="106" spans="1:13" x14ac:dyDescent="0.25">
      <c r="A106" t="s">
        <v>65</v>
      </c>
      <c r="B106" t="s">
        <v>169</v>
      </c>
      <c r="C106">
        <v>8</v>
      </c>
      <c r="D106">
        <v>6</v>
      </c>
      <c r="E106">
        <v>2</v>
      </c>
      <c r="F106">
        <v>0</v>
      </c>
      <c r="G106">
        <v>1</v>
      </c>
      <c r="H106">
        <v>8</v>
      </c>
      <c r="I106">
        <v>0</v>
      </c>
      <c r="J106">
        <v>11100</v>
      </c>
      <c r="K106">
        <v>11400</v>
      </c>
      <c r="L106">
        <v>9600</v>
      </c>
      <c r="M106">
        <v>9600</v>
      </c>
    </row>
    <row r="107" spans="1:13" x14ac:dyDescent="0.25">
      <c r="A107" t="s">
        <v>65</v>
      </c>
      <c r="B107" t="s">
        <v>170</v>
      </c>
      <c r="C107">
        <v>2</v>
      </c>
      <c r="D107">
        <v>0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11100</v>
      </c>
      <c r="K107">
        <v>11400</v>
      </c>
      <c r="L107">
        <v>2400</v>
      </c>
      <c r="M107">
        <v>0</v>
      </c>
    </row>
    <row r="108" spans="1:13" x14ac:dyDescent="0.25">
      <c r="A108" t="s">
        <v>65</v>
      </c>
      <c r="B108" t="s">
        <v>90</v>
      </c>
      <c r="C108">
        <v>158</v>
      </c>
      <c r="D108">
        <v>137</v>
      </c>
      <c r="E108">
        <v>0</v>
      </c>
      <c r="F108">
        <v>1</v>
      </c>
      <c r="G108">
        <v>3</v>
      </c>
      <c r="H108">
        <v>140</v>
      </c>
      <c r="I108">
        <v>18</v>
      </c>
      <c r="J108">
        <v>11100</v>
      </c>
      <c r="K108">
        <v>11400</v>
      </c>
      <c r="L108">
        <v>107200</v>
      </c>
      <c r="M108">
        <v>112000</v>
      </c>
    </row>
    <row r="109" spans="1:13" x14ac:dyDescent="0.25">
      <c r="A109" t="s">
        <v>66</v>
      </c>
      <c r="B109" t="s">
        <v>171</v>
      </c>
      <c r="C109">
        <v>9</v>
      </c>
      <c r="D109">
        <v>7</v>
      </c>
      <c r="E109">
        <v>2</v>
      </c>
      <c r="F109">
        <v>0</v>
      </c>
      <c r="G109">
        <v>1</v>
      </c>
      <c r="H109">
        <v>9</v>
      </c>
      <c r="I109">
        <v>0</v>
      </c>
      <c r="J109">
        <v>9600</v>
      </c>
      <c r="K109">
        <v>9900</v>
      </c>
      <c r="L109">
        <v>10800</v>
      </c>
      <c r="M109">
        <v>10800</v>
      </c>
    </row>
    <row r="110" spans="1:13" x14ac:dyDescent="0.25">
      <c r="A110" t="s">
        <v>66</v>
      </c>
      <c r="B110" t="s">
        <v>90</v>
      </c>
      <c r="C110">
        <v>9</v>
      </c>
      <c r="D110">
        <v>8</v>
      </c>
      <c r="E110">
        <v>0</v>
      </c>
      <c r="F110">
        <v>0</v>
      </c>
      <c r="G110">
        <v>1</v>
      </c>
      <c r="H110">
        <v>9</v>
      </c>
      <c r="I110">
        <v>0</v>
      </c>
      <c r="J110">
        <v>9600</v>
      </c>
      <c r="K110">
        <v>9900</v>
      </c>
      <c r="L110">
        <v>9600</v>
      </c>
      <c r="M110">
        <v>10800</v>
      </c>
    </row>
  </sheetData>
  <pageMargins left="0.7" right="0.7" top="0.75" bottom="0.75" header="0.3" footer="0.3"/>
  <ignoredErrors>
    <ignoredError sqref="A1:M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Sales</vt:lpstr>
      <vt:lpstr>Outstanding &amp; Collection</vt:lpstr>
      <vt:lpstr>Construction Budget</vt:lpstr>
      <vt:lpstr>Project Portfolio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Verma</cp:lastModifiedBy>
  <dcterms:modified xsi:type="dcterms:W3CDTF">2026-06-25T09:34:59Z</dcterms:modified>
</cp:coreProperties>
</file>